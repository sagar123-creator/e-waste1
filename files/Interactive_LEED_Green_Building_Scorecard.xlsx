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II Green Business Centre" sheetId="2" state="visible" r:id="rId2"/>
    <sheet xmlns:r="http://schemas.openxmlformats.org/officeDocument/2006/relationships" name="Suzlon One Earth" sheetId="3" state="visible" r:id="rId3"/>
    <sheet xmlns:r="http://schemas.openxmlformats.org/officeDocument/2006/relationships" name="ITC Green Centre" sheetId="4" state="visible" r:id="rId4"/>
    <sheet xmlns:r="http://schemas.openxmlformats.org/officeDocument/2006/relationships" name="Indira Paryavaran Bhawan" sheetId="5" state="visible" r:id="rId5"/>
    <sheet xmlns:r="http://schemas.openxmlformats.org/officeDocument/2006/relationships" name="Rajiv Gandhi International Airp" sheetId="6" state="visible" r:id="rId6"/>
    <sheet xmlns:r="http://schemas.openxmlformats.org/officeDocument/2006/relationships" name="One Horizon Centre" sheetId="7" state="visible" r:id="rId7"/>
    <sheet xmlns:r="http://schemas.openxmlformats.org/officeDocument/2006/relationships" name="Godrej One" sheetId="8" state="visible" r:id="rId8"/>
    <sheet xmlns:r="http://schemas.openxmlformats.org/officeDocument/2006/relationships" name="Wipro Campus" sheetId="9" state="visible" r:id="rId9"/>
    <sheet xmlns:r="http://schemas.openxmlformats.org/officeDocument/2006/relationships" name="DLF Cyber City" sheetId="10" state="visible" r:id="rId10"/>
    <sheet xmlns:r="http://schemas.openxmlformats.org/officeDocument/2006/relationships" name="Olympia Technology Park" sheetId="11" state="visible" r:id="rId11"/>
    <sheet xmlns:r="http://schemas.openxmlformats.org/officeDocument/2006/relationships" name="Interactive Scorec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00B050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Certification</t>
        </is>
      </c>
      <c r="C1" s="1" t="inlineStr">
        <is>
          <t>IP</t>
        </is>
      </c>
      <c r="D1" s="1" t="inlineStr">
        <is>
          <t>LT</t>
        </is>
      </c>
      <c r="E1" s="1" t="inlineStr">
        <is>
          <t>SS</t>
        </is>
      </c>
      <c r="F1" s="1" t="inlineStr">
        <is>
          <t>WE</t>
        </is>
      </c>
      <c r="G1" s="1" t="inlineStr">
        <is>
          <t>EA</t>
        </is>
      </c>
      <c r="H1" s="1" t="inlineStr">
        <is>
          <t>MR</t>
        </is>
      </c>
      <c r="I1" s="1" t="inlineStr">
        <is>
          <t>EQ</t>
        </is>
      </c>
      <c r="J1" s="1" t="inlineStr">
        <is>
          <t>PR</t>
        </is>
      </c>
      <c r="K1" s="1" t="inlineStr">
        <is>
          <t>Total</t>
        </is>
      </c>
    </row>
    <row r="2">
      <c r="A2" t="inlineStr">
        <is>
          <t>CII Green Business Centre</t>
        </is>
      </c>
      <c r="B2" t="inlineStr">
        <is>
          <t>LEED Platinum</t>
        </is>
      </c>
      <c r="C2" t="n">
        <v>1</v>
      </c>
      <c r="D2" t="n">
        <v>13</v>
      </c>
      <c r="E2" t="n">
        <v>10</v>
      </c>
      <c r="F2" t="n">
        <v>9</v>
      </c>
      <c r="G2" t="n">
        <v>30</v>
      </c>
      <c r="H2" t="n">
        <v>16</v>
      </c>
      <c r="I2" t="n">
        <v>11</v>
      </c>
      <c r="J2" t="n">
        <v>8</v>
      </c>
      <c r="K2" t="n">
        <v>98</v>
      </c>
    </row>
    <row r="3">
      <c r="A3" t="inlineStr">
        <is>
          <t>Suzlon One Earth</t>
        </is>
      </c>
      <c r="B3" t="inlineStr">
        <is>
          <t>LEED Platinum</t>
        </is>
      </c>
      <c r="C3" t="n">
        <v>1</v>
      </c>
      <c r="D3" t="n">
        <v>12</v>
      </c>
      <c r="E3" t="n">
        <v>10</v>
      </c>
      <c r="F3" t="n">
        <v>9</v>
      </c>
      <c r="G3" t="n">
        <v>31</v>
      </c>
      <c r="H3" t="n">
        <v>16</v>
      </c>
      <c r="I3" t="n">
        <v>11</v>
      </c>
      <c r="J3" t="n">
        <v>8</v>
      </c>
      <c r="K3" t="n">
        <v>98</v>
      </c>
    </row>
    <row r="4">
      <c r="A4" t="inlineStr">
        <is>
          <t>ITC Green Centre</t>
        </is>
      </c>
      <c r="B4" t="inlineStr">
        <is>
          <t>LEED Platinum</t>
        </is>
      </c>
      <c r="C4" t="n">
        <v>1</v>
      </c>
      <c r="D4" t="n">
        <v>13</v>
      </c>
      <c r="E4" t="n">
        <v>9</v>
      </c>
      <c r="F4" t="n">
        <v>8</v>
      </c>
      <c r="G4" t="n">
        <v>29</v>
      </c>
      <c r="H4" t="n">
        <v>15</v>
      </c>
      <c r="I4" t="n">
        <v>12</v>
      </c>
      <c r="J4" t="n">
        <v>8</v>
      </c>
      <c r="K4" t="n">
        <v>95</v>
      </c>
    </row>
    <row r="5">
      <c r="A5" t="inlineStr">
        <is>
          <t>Indira Paryavaran Bhawan</t>
        </is>
      </c>
      <c r="B5" t="inlineStr">
        <is>
          <t>Net Zero / GRIHA</t>
        </is>
      </c>
      <c r="C5" t="n">
        <v>1</v>
      </c>
      <c r="D5" t="n">
        <v>12</v>
      </c>
      <c r="E5" t="n">
        <v>9</v>
      </c>
      <c r="F5" t="n">
        <v>9</v>
      </c>
      <c r="G5" t="n">
        <v>31</v>
      </c>
      <c r="H5" t="n">
        <v>16</v>
      </c>
      <c r="I5" t="n">
        <v>11</v>
      </c>
      <c r="J5" t="n">
        <v>8</v>
      </c>
      <c r="K5" t="n">
        <v>97</v>
      </c>
    </row>
    <row r="6">
      <c r="A6" t="inlineStr">
        <is>
          <t>Rajiv Gandhi International Airport</t>
        </is>
      </c>
      <c r="B6" t="inlineStr">
        <is>
          <t>IGBC Platinum</t>
        </is>
      </c>
      <c r="C6" t="n">
        <v>1</v>
      </c>
      <c r="D6" t="n">
        <v>14</v>
      </c>
      <c r="E6" t="n">
        <v>9</v>
      </c>
      <c r="F6" t="n">
        <v>8</v>
      </c>
      <c r="G6" t="n">
        <v>28</v>
      </c>
      <c r="H6" t="n">
        <v>14</v>
      </c>
      <c r="I6" t="n">
        <v>11</v>
      </c>
      <c r="J6" t="n">
        <v>7</v>
      </c>
      <c r="K6" t="n">
        <v>92</v>
      </c>
    </row>
    <row r="7">
      <c r="A7" t="inlineStr">
        <is>
          <t>One Horizon Centre</t>
        </is>
      </c>
      <c r="B7" t="inlineStr">
        <is>
          <t>LEED Platinum</t>
        </is>
      </c>
      <c r="C7" t="n">
        <v>1</v>
      </c>
      <c r="D7" t="n">
        <v>13</v>
      </c>
      <c r="E7" t="n">
        <v>8</v>
      </c>
      <c r="F7" t="n">
        <v>8</v>
      </c>
      <c r="G7" t="n">
        <v>28</v>
      </c>
      <c r="H7" t="n">
        <v>14</v>
      </c>
      <c r="I7" t="n">
        <v>11</v>
      </c>
      <c r="J7" t="n">
        <v>7</v>
      </c>
      <c r="K7" t="n">
        <v>90</v>
      </c>
    </row>
    <row r="8">
      <c r="A8" t="inlineStr">
        <is>
          <t>Godrej One</t>
        </is>
      </c>
      <c r="B8" t="inlineStr">
        <is>
          <t>LEED Platinum</t>
        </is>
      </c>
      <c r="C8" t="n">
        <v>1</v>
      </c>
      <c r="D8" t="n">
        <v>12</v>
      </c>
      <c r="E8" t="n">
        <v>8</v>
      </c>
      <c r="F8" t="n">
        <v>8</v>
      </c>
      <c r="G8" t="n">
        <v>27</v>
      </c>
      <c r="H8" t="n">
        <v>15</v>
      </c>
      <c r="I8" t="n">
        <v>11</v>
      </c>
      <c r="J8" t="n">
        <v>7</v>
      </c>
      <c r="K8" t="n">
        <v>89</v>
      </c>
    </row>
    <row r="9">
      <c r="A9" t="inlineStr">
        <is>
          <t>Wipro Campus</t>
        </is>
      </c>
      <c r="B9" t="inlineStr">
        <is>
          <t>LEED Platinum</t>
        </is>
      </c>
      <c r="C9" t="n">
        <v>1</v>
      </c>
      <c r="D9" t="n">
        <v>13</v>
      </c>
      <c r="E9" t="n">
        <v>9</v>
      </c>
      <c r="F9" t="n">
        <v>8</v>
      </c>
      <c r="G9" t="n">
        <v>29</v>
      </c>
      <c r="H9" t="n">
        <v>15</v>
      </c>
      <c r="I9" t="n">
        <v>12</v>
      </c>
      <c r="J9" t="n">
        <v>7</v>
      </c>
      <c r="K9" t="n">
        <v>94</v>
      </c>
    </row>
    <row r="10">
      <c r="A10" t="inlineStr">
        <is>
          <t>DLF Cyber City</t>
        </is>
      </c>
      <c r="B10" t="inlineStr">
        <is>
          <t>IGBC Platinum</t>
        </is>
      </c>
      <c r="C10" t="n">
        <v>1</v>
      </c>
      <c r="D10" t="n">
        <v>14</v>
      </c>
      <c r="E10" t="n">
        <v>8</v>
      </c>
      <c r="F10" t="n">
        <v>7</v>
      </c>
      <c r="G10" t="n">
        <v>27</v>
      </c>
      <c r="H10" t="n">
        <v>14</v>
      </c>
      <c r="I10" t="n">
        <v>10</v>
      </c>
      <c r="J10" t="n">
        <v>7</v>
      </c>
      <c r="K10" t="n">
        <v>88</v>
      </c>
    </row>
    <row r="11">
      <c r="A11" t="inlineStr">
        <is>
          <t>Olympia Technology Park</t>
        </is>
      </c>
      <c r="B11" t="inlineStr">
        <is>
          <t>LEED Gold</t>
        </is>
      </c>
      <c r="C11" t="n">
        <v>1</v>
      </c>
      <c r="D11" t="n">
        <v>11</v>
      </c>
      <c r="E11" t="n">
        <v>8</v>
      </c>
      <c r="F11" t="n">
        <v>7</v>
      </c>
      <c r="G11" t="n">
        <v>23</v>
      </c>
      <c r="H11" t="n">
        <v>12</v>
      </c>
      <c r="I11" t="n">
        <v>10</v>
      </c>
      <c r="J11" t="n">
        <v>6</v>
      </c>
      <c r="K1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CII Green Business Centre</t>
        </is>
      </c>
    </row>
    <row r="2">
      <c r="A2" t="inlineStr">
        <is>
          <t>Certification</t>
        </is>
      </c>
      <c r="B2" t="inlineStr">
        <is>
          <t>LEED Platinum</t>
        </is>
      </c>
    </row>
    <row r="4">
      <c r="A4" s="2" t="inlineStr">
        <is>
          <t>Category</t>
        </is>
      </c>
      <c r="B4" s="2" t="inlineStr">
        <is>
          <t>Max</t>
        </is>
      </c>
      <c r="C4" s="2" t="inlineStr">
        <is>
          <t>Awarded</t>
        </is>
      </c>
    </row>
    <row r="5">
      <c r="A5" t="inlineStr">
        <is>
          <t>Integrative Process</t>
        </is>
      </c>
      <c r="B5" t="n">
        <v>1</v>
      </c>
      <c r="C5" t="n">
        <v>1</v>
      </c>
    </row>
    <row r="6">
      <c r="A6" t="inlineStr">
        <is>
          <t>Location &amp; Transportation</t>
        </is>
      </c>
      <c r="B6" t="n">
        <v>15</v>
      </c>
      <c r="C6" t="n">
        <v>13</v>
      </c>
    </row>
    <row r="7">
      <c r="A7" t="inlineStr">
        <is>
          <t>Sustainable Sites</t>
        </is>
      </c>
      <c r="B7" t="n">
        <v>11</v>
      </c>
      <c r="C7" t="n">
        <v>10</v>
      </c>
    </row>
    <row r="8">
      <c r="A8" t="inlineStr">
        <is>
          <t>Water Efficiency</t>
        </is>
      </c>
      <c r="B8" t="n">
        <v>9</v>
      </c>
      <c r="C8" t="n">
        <v>9</v>
      </c>
    </row>
    <row r="9">
      <c r="A9" t="inlineStr">
        <is>
          <t>Energy &amp; Atmosphere</t>
        </is>
      </c>
      <c r="B9" t="n">
        <v>33</v>
      </c>
      <c r="C9" t="n">
        <v>30</v>
      </c>
    </row>
    <row r="10">
      <c r="A10" t="inlineStr">
        <is>
          <t>Materials &amp; Resources</t>
        </is>
      </c>
      <c r="B10" t="n">
        <v>18</v>
      </c>
      <c r="C10" t="n">
        <v>16</v>
      </c>
    </row>
    <row r="11">
      <c r="A11" t="inlineStr">
        <is>
          <t>Indoor Environmental Quality</t>
        </is>
      </c>
      <c r="B11" t="n">
        <v>13</v>
      </c>
      <c r="C11" t="n">
        <v>11</v>
      </c>
    </row>
    <row r="12">
      <c r="A12" t="inlineStr">
        <is>
          <t>Project Priorities</t>
        </is>
      </c>
      <c r="B12" t="n">
        <v>10</v>
      </c>
      <c r="C12" t="n">
        <v>8</v>
      </c>
    </row>
    <row r="13">
      <c r="A13" t="inlineStr">
        <is>
          <t>TOTAL</t>
        </is>
      </c>
      <c r="B13" t="n">
        <v>110</v>
      </c>
      <c r="C13" t="n">
        <v>98</v>
      </c>
    </row>
    <row r="15">
      <c r="A15" t="inlineStr">
        <is>
          <t>Note</t>
        </is>
      </c>
      <c r="B15" t="inlineStr">
        <is>
          <t>Estimated realistic LEED category scores.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Suzlon One Earth</t>
        </is>
      </c>
    </row>
    <row r="2">
      <c r="A2" t="inlineStr">
        <is>
          <t>Certification</t>
        </is>
      </c>
      <c r="B2" t="inlineStr">
        <is>
          <t>LEED Platinum</t>
        </is>
      </c>
    </row>
    <row r="4">
      <c r="A4" s="2" t="inlineStr">
        <is>
          <t>Category</t>
        </is>
      </c>
      <c r="B4" s="2" t="inlineStr">
        <is>
          <t>Max</t>
        </is>
      </c>
      <c r="C4" s="2" t="inlineStr">
        <is>
          <t>Awarded</t>
        </is>
      </c>
    </row>
    <row r="5">
      <c r="A5" t="inlineStr">
        <is>
          <t>Integrative Process</t>
        </is>
      </c>
      <c r="B5" t="n">
        <v>1</v>
      </c>
      <c r="C5" t="n">
        <v>1</v>
      </c>
    </row>
    <row r="6">
      <c r="A6" t="inlineStr">
        <is>
          <t>Location &amp; Transportation</t>
        </is>
      </c>
      <c r="B6" t="n">
        <v>15</v>
      </c>
      <c r="C6" t="n">
        <v>12</v>
      </c>
    </row>
    <row r="7">
      <c r="A7" t="inlineStr">
        <is>
          <t>Sustainable Sites</t>
        </is>
      </c>
      <c r="B7" t="n">
        <v>11</v>
      </c>
      <c r="C7" t="n">
        <v>10</v>
      </c>
    </row>
    <row r="8">
      <c r="A8" t="inlineStr">
        <is>
          <t>Water Efficiency</t>
        </is>
      </c>
      <c r="B8" t="n">
        <v>9</v>
      </c>
      <c r="C8" t="n">
        <v>9</v>
      </c>
    </row>
    <row r="9">
      <c r="A9" t="inlineStr">
        <is>
          <t>Energy &amp; Atmosphere</t>
        </is>
      </c>
      <c r="B9" t="n">
        <v>33</v>
      </c>
      <c r="C9" t="n">
        <v>31</v>
      </c>
    </row>
    <row r="10">
      <c r="A10" t="inlineStr">
        <is>
          <t>Materials &amp; Resources</t>
        </is>
      </c>
      <c r="B10" t="n">
        <v>18</v>
      </c>
      <c r="C10" t="n">
        <v>16</v>
      </c>
    </row>
    <row r="11">
      <c r="A11" t="inlineStr">
        <is>
          <t>Indoor Environmental Quality</t>
        </is>
      </c>
      <c r="B11" t="n">
        <v>13</v>
      </c>
      <c r="C11" t="n">
        <v>11</v>
      </c>
    </row>
    <row r="12">
      <c r="A12" t="inlineStr">
        <is>
          <t>Project Priorities</t>
        </is>
      </c>
      <c r="B12" t="n">
        <v>10</v>
      </c>
      <c r="C12" t="n">
        <v>8</v>
      </c>
    </row>
    <row r="13">
      <c r="A13" t="inlineStr">
        <is>
          <t>TOTAL</t>
        </is>
      </c>
      <c r="B13" t="n">
        <v>110</v>
      </c>
      <c r="C13" t="n">
        <v>98</v>
      </c>
    </row>
    <row r="15">
      <c r="A15" t="inlineStr">
        <is>
          <t>Note</t>
        </is>
      </c>
      <c r="B15" t="inlineStr">
        <is>
          <t>Estimated realistic LEED category scores.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ITC Green Centre</t>
        </is>
      </c>
    </row>
    <row r="2">
      <c r="A2" t="inlineStr">
        <is>
          <t>Certification</t>
        </is>
      </c>
      <c r="B2" t="inlineStr">
        <is>
          <t>LEED Platinum</t>
        </is>
      </c>
    </row>
    <row r="4">
      <c r="A4" s="2" t="inlineStr">
        <is>
          <t>Category</t>
        </is>
      </c>
      <c r="B4" s="2" t="inlineStr">
        <is>
          <t>Max</t>
        </is>
      </c>
      <c r="C4" s="2" t="inlineStr">
        <is>
          <t>Awarded</t>
        </is>
      </c>
    </row>
    <row r="5">
      <c r="A5" t="inlineStr">
        <is>
          <t>Integrative Process</t>
        </is>
      </c>
      <c r="B5" t="n">
        <v>1</v>
      </c>
      <c r="C5" t="n">
        <v>1</v>
      </c>
    </row>
    <row r="6">
      <c r="A6" t="inlineStr">
        <is>
          <t>Location &amp; Transportation</t>
        </is>
      </c>
      <c r="B6" t="n">
        <v>15</v>
      </c>
      <c r="C6" t="n">
        <v>13</v>
      </c>
    </row>
    <row r="7">
      <c r="A7" t="inlineStr">
        <is>
          <t>Sustainable Sites</t>
        </is>
      </c>
      <c r="B7" t="n">
        <v>11</v>
      </c>
      <c r="C7" t="n">
        <v>9</v>
      </c>
    </row>
    <row r="8">
      <c r="A8" t="inlineStr">
        <is>
          <t>Water Efficiency</t>
        </is>
      </c>
      <c r="B8" t="n">
        <v>9</v>
      </c>
      <c r="C8" t="n">
        <v>8</v>
      </c>
    </row>
    <row r="9">
      <c r="A9" t="inlineStr">
        <is>
          <t>Energy &amp; Atmosphere</t>
        </is>
      </c>
      <c r="B9" t="n">
        <v>33</v>
      </c>
      <c r="C9" t="n">
        <v>29</v>
      </c>
    </row>
    <row r="10">
      <c r="A10" t="inlineStr">
        <is>
          <t>Materials &amp; Resources</t>
        </is>
      </c>
      <c r="B10" t="n">
        <v>18</v>
      </c>
      <c r="C10" t="n">
        <v>15</v>
      </c>
    </row>
    <row r="11">
      <c r="A11" t="inlineStr">
        <is>
          <t>Indoor Environmental Quality</t>
        </is>
      </c>
      <c r="B11" t="n">
        <v>13</v>
      </c>
      <c r="C11" t="n">
        <v>12</v>
      </c>
    </row>
    <row r="12">
      <c r="A12" t="inlineStr">
        <is>
          <t>Project Priorities</t>
        </is>
      </c>
      <c r="B12" t="n">
        <v>10</v>
      </c>
      <c r="C12" t="n">
        <v>8</v>
      </c>
    </row>
    <row r="13">
      <c r="A13" t="inlineStr">
        <is>
          <t>TOTAL</t>
        </is>
      </c>
      <c r="B13" t="n">
        <v>110</v>
      </c>
      <c r="C13" t="n">
        <v>95</v>
      </c>
    </row>
    <row r="15">
      <c r="A15" t="inlineStr">
        <is>
          <t>Note</t>
        </is>
      </c>
      <c r="B15" t="inlineStr">
        <is>
          <t>Estimated realistic LEED category scores.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Indira Paryavaran Bhawan</t>
        </is>
      </c>
    </row>
    <row r="2">
      <c r="A2" t="inlineStr">
        <is>
          <t>Certification</t>
        </is>
      </c>
      <c r="B2" t="inlineStr">
        <is>
          <t>Net Zero / GRIHA</t>
        </is>
      </c>
    </row>
    <row r="4">
      <c r="A4" s="2" t="inlineStr">
        <is>
          <t>Category</t>
        </is>
      </c>
      <c r="B4" s="2" t="inlineStr">
        <is>
          <t>Max</t>
        </is>
      </c>
      <c r="C4" s="2" t="inlineStr">
        <is>
          <t>Awarded</t>
        </is>
      </c>
    </row>
    <row r="5">
      <c r="A5" t="inlineStr">
        <is>
          <t>Integrative Process</t>
        </is>
      </c>
      <c r="B5" t="n">
        <v>1</v>
      </c>
      <c r="C5" t="n">
        <v>1</v>
      </c>
    </row>
    <row r="6">
      <c r="A6" t="inlineStr">
        <is>
          <t>Location &amp; Transportation</t>
        </is>
      </c>
      <c r="B6" t="n">
        <v>15</v>
      </c>
      <c r="C6" t="n">
        <v>12</v>
      </c>
    </row>
    <row r="7">
      <c r="A7" t="inlineStr">
        <is>
          <t>Sustainable Sites</t>
        </is>
      </c>
      <c r="B7" t="n">
        <v>11</v>
      </c>
      <c r="C7" t="n">
        <v>9</v>
      </c>
    </row>
    <row r="8">
      <c r="A8" t="inlineStr">
        <is>
          <t>Water Efficiency</t>
        </is>
      </c>
      <c r="B8" t="n">
        <v>9</v>
      </c>
      <c r="C8" t="n">
        <v>9</v>
      </c>
    </row>
    <row r="9">
      <c r="A9" t="inlineStr">
        <is>
          <t>Energy &amp; Atmosphere</t>
        </is>
      </c>
      <c r="B9" t="n">
        <v>33</v>
      </c>
      <c r="C9" t="n">
        <v>31</v>
      </c>
    </row>
    <row r="10">
      <c r="A10" t="inlineStr">
        <is>
          <t>Materials &amp; Resources</t>
        </is>
      </c>
      <c r="B10" t="n">
        <v>18</v>
      </c>
      <c r="C10" t="n">
        <v>16</v>
      </c>
    </row>
    <row r="11">
      <c r="A11" t="inlineStr">
        <is>
          <t>Indoor Environmental Quality</t>
        </is>
      </c>
      <c r="B11" t="n">
        <v>13</v>
      </c>
      <c r="C11" t="n">
        <v>11</v>
      </c>
    </row>
    <row r="12">
      <c r="A12" t="inlineStr">
        <is>
          <t>Project Priorities</t>
        </is>
      </c>
      <c r="B12" t="n">
        <v>10</v>
      </c>
      <c r="C12" t="n">
        <v>8</v>
      </c>
    </row>
    <row r="13">
      <c r="A13" t="inlineStr">
        <is>
          <t>TOTAL</t>
        </is>
      </c>
      <c r="B13" t="n">
        <v>110</v>
      </c>
      <c r="C13" t="n">
        <v>97</v>
      </c>
    </row>
    <row r="15">
      <c r="A15" t="inlineStr">
        <is>
          <t>Note</t>
        </is>
      </c>
      <c r="B15" t="inlineStr">
        <is>
          <t>Estimated realistic LEED category scores.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Rajiv Gandhi International Airport</t>
        </is>
      </c>
    </row>
    <row r="2">
      <c r="A2" t="inlineStr">
        <is>
          <t>Certification</t>
        </is>
      </c>
      <c r="B2" t="inlineStr">
        <is>
          <t>IGBC Platinum</t>
        </is>
      </c>
    </row>
    <row r="4">
      <c r="A4" s="2" t="inlineStr">
        <is>
          <t>Category</t>
        </is>
      </c>
      <c r="B4" s="2" t="inlineStr">
        <is>
          <t>Max</t>
        </is>
      </c>
      <c r="C4" s="2" t="inlineStr">
        <is>
          <t>Awarded</t>
        </is>
      </c>
    </row>
    <row r="5">
      <c r="A5" t="inlineStr">
        <is>
          <t>Integrative Process</t>
        </is>
      </c>
      <c r="B5" t="n">
        <v>1</v>
      </c>
      <c r="C5" t="n">
        <v>1</v>
      </c>
    </row>
    <row r="6">
      <c r="A6" t="inlineStr">
        <is>
          <t>Location &amp; Transportation</t>
        </is>
      </c>
      <c r="B6" t="n">
        <v>15</v>
      </c>
      <c r="C6" t="n">
        <v>14</v>
      </c>
    </row>
    <row r="7">
      <c r="A7" t="inlineStr">
        <is>
          <t>Sustainable Sites</t>
        </is>
      </c>
      <c r="B7" t="n">
        <v>11</v>
      </c>
      <c r="C7" t="n">
        <v>9</v>
      </c>
    </row>
    <row r="8">
      <c r="A8" t="inlineStr">
        <is>
          <t>Water Efficiency</t>
        </is>
      </c>
      <c r="B8" t="n">
        <v>9</v>
      </c>
      <c r="C8" t="n">
        <v>8</v>
      </c>
    </row>
    <row r="9">
      <c r="A9" t="inlineStr">
        <is>
          <t>Energy &amp; Atmosphere</t>
        </is>
      </c>
      <c r="B9" t="n">
        <v>33</v>
      </c>
      <c r="C9" t="n">
        <v>28</v>
      </c>
    </row>
    <row r="10">
      <c r="A10" t="inlineStr">
        <is>
          <t>Materials &amp; Resources</t>
        </is>
      </c>
      <c r="B10" t="n">
        <v>18</v>
      </c>
      <c r="C10" t="n">
        <v>14</v>
      </c>
    </row>
    <row r="11">
      <c r="A11" t="inlineStr">
        <is>
          <t>Indoor Environmental Quality</t>
        </is>
      </c>
      <c r="B11" t="n">
        <v>13</v>
      </c>
      <c r="C11" t="n">
        <v>11</v>
      </c>
    </row>
    <row r="12">
      <c r="A12" t="inlineStr">
        <is>
          <t>Project Priorities</t>
        </is>
      </c>
      <c r="B12" t="n">
        <v>10</v>
      </c>
      <c r="C12" t="n">
        <v>7</v>
      </c>
    </row>
    <row r="13">
      <c r="A13" t="inlineStr">
        <is>
          <t>TOTAL</t>
        </is>
      </c>
      <c r="B13" t="n">
        <v>110</v>
      </c>
      <c r="C13" t="n">
        <v>92</v>
      </c>
    </row>
    <row r="15">
      <c r="A15" t="inlineStr">
        <is>
          <t>Note</t>
        </is>
      </c>
      <c r="B15" t="inlineStr">
        <is>
          <t>Estimated realistic LEED category scores.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One Horizon Centre</t>
        </is>
      </c>
    </row>
    <row r="2">
      <c r="A2" t="inlineStr">
        <is>
          <t>Certification</t>
        </is>
      </c>
      <c r="B2" t="inlineStr">
        <is>
          <t>LEED Platinum</t>
        </is>
      </c>
    </row>
    <row r="4">
      <c r="A4" s="2" t="inlineStr">
        <is>
          <t>Category</t>
        </is>
      </c>
      <c r="B4" s="2" t="inlineStr">
        <is>
          <t>Max</t>
        </is>
      </c>
      <c r="C4" s="2" t="inlineStr">
        <is>
          <t>Awarded</t>
        </is>
      </c>
    </row>
    <row r="5">
      <c r="A5" t="inlineStr">
        <is>
          <t>Integrative Process</t>
        </is>
      </c>
      <c r="B5" t="n">
        <v>1</v>
      </c>
      <c r="C5" t="n">
        <v>1</v>
      </c>
    </row>
    <row r="6">
      <c r="A6" t="inlineStr">
        <is>
          <t>Location &amp; Transportation</t>
        </is>
      </c>
      <c r="B6" t="n">
        <v>15</v>
      </c>
      <c r="C6" t="n">
        <v>13</v>
      </c>
    </row>
    <row r="7">
      <c r="A7" t="inlineStr">
        <is>
          <t>Sustainable Sites</t>
        </is>
      </c>
      <c r="B7" t="n">
        <v>11</v>
      </c>
      <c r="C7" t="n">
        <v>8</v>
      </c>
    </row>
    <row r="8">
      <c r="A8" t="inlineStr">
        <is>
          <t>Water Efficiency</t>
        </is>
      </c>
      <c r="B8" t="n">
        <v>9</v>
      </c>
      <c r="C8" t="n">
        <v>8</v>
      </c>
    </row>
    <row r="9">
      <c r="A9" t="inlineStr">
        <is>
          <t>Energy &amp; Atmosphere</t>
        </is>
      </c>
      <c r="B9" t="n">
        <v>33</v>
      </c>
      <c r="C9" t="n">
        <v>28</v>
      </c>
    </row>
    <row r="10">
      <c r="A10" t="inlineStr">
        <is>
          <t>Materials &amp; Resources</t>
        </is>
      </c>
      <c r="B10" t="n">
        <v>18</v>
      </c>
      <c r="C10" t="n">
        <v>14</v>
      </c>
    </row>
    <row r="11">
      <c r="A11" t="inlineStr">
        <is>
          <t>Indoor Environmental Quality</t>
        </is>
      </c>
      <c r="B11" t="n">
        <v>13</v>
      </c>
      <c r="C11" t="n">
        <v>11</v>
      </c>
    </row>
    <row r="12">
      <c r="A12" t="inlineStr">
        <is>
          <t>Project Priorities</t>
        </is>
      </c>
      <c r="B12" t="n">
        <v>10</v>
      </c>
      <c r="C12" t="n">
        <v>7</v>
      </c>
    </row>
    <row r="13">
      <c r="A13" t="inlineStr">
        <is>
          <t>TOTAL</t>
        </is>
      </c>
      <c r="B13" t="n">
        <v>110</v>
      </c>
      <c r="C13" t="n">
        <v>90</v>
      </c>
    </row>
    <row r="15">
      <c r="A15" t="inlineStr">
        <is>
          <t>Note</t>
        </is>
      </c>
      <c r="B15" t="inlineStr">
        <is>
          <t>Estimated realistic LEED category scores.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Godrej One</t>
        </is>
      </c>
    </row>
    <row r="2">
      <c r="A2" t="inlineStr">
        <is>
          <t>Certification</t>
        </is>
      </c>
      <c r="B2" t="inlineStr">
        <is>
          <t>LEED Platinum</t>
        </is>
      </c>
    </row>
    <row r="4">
      <c r="A4" s="2" t="inlineStr">
        <is>
          <t>Category</t>
        </is>
      </c>
      <c r="B4" s="2" t="inlineStr">
        <is>
          <t>Max</t>
        </is>
      </c>
      <c r="C4" s="2" t="inlineStr">
        <is>
          <t>Awarded</t>
        </is>
      </c>
    </row>
    <row r="5">
      <c r="A5" t="inlineStr">
        <is>
          <t>Integrative Process</t>
        </is>
      </c>
      <c r="B5" t="n">
        <v>1</v>
      </c>
      <c r="C5" t="n">
        <v>1</v>
      </c>
    </row>
    <row r="6">
      <c r="A6" t="inlineStr">
        <is>
          <t>Location &amp; Transportation</t>
        </is>
      </c>
      <c r="B6" t="n">
        <v>15</v>
      </c>
      <c r="C6" t="n">
        <v>12</v>
      </c>
    </row>
    <row r="7">
      <c r="A7" t="inlineStr">
        <is>
          <t>Sustainable Sites</t>
        </is>
      </c>
      <c r="B7" t="n">
        <v>11</v>
      </c>
      <c r="C7" t="n">
        <v>8</v>
      </c>
    </row>
    <row r="8">
      <c r="A8" t="inlineStr">
        <is>
          <t>Water Efficiency</t>
        </is>
      </c>
      <c r="B8" t="n">
        <v>9</v>
      </c>
      <c r="C8" t="n">
        <v>8</v>
      </c>
    </row>
    <row r="9">
      <c r="A9" t="inlineStr">
        <is>
          <t>Energy &amp; Atmosphere</t>
        </is>
      </c>
      <c r="B9" t="n">
        <v>33</v>
      </c>
      <c r="C9" t="n">
        <v>27</v>
      </c>
    </row>
    <row r="10">
      <c r="A10" t="inlineStr">
        <is>
          <t>Materials &amp; Resources</t>
        </is>
      </c>
      <c r="B10" t="n">
        <v>18</v>
      </c>
      <c r="C10" t="n">
        <v>15</v>
      </c>
    </row>
    <row r="11">
      <c r="A11" t="inlineStr">
        <is>
          <t>Indoor Environmental Quality</t>
        </is>
      </c>
      <c r="B11" t="n">
        <v>13</v>
      </c>
      <c r="C11" t="n">
        <v>11</v>
      </c>
    </row>
    <row r="12">
      <c r="A12" t="inlineStr">
        <is>
          <t>Project Priorities</t>
        </is>
      </c>
      <c r="B12" t="n">
        <v>10</v>
      </c>
      <c r="C12" t="n">
        <v>7</v>
      </c>
    </row>
    <row r="13">
      <c r="A13" t="inlineStr">
        <is>
          <t>TOTAL</t>
        </is>
      </c>
      <c r="B13" t="n">
        <v>110</v>
      </c>
      <c r="C13" t="n">
        <v>89</v>
      </c>
    </row>
    <row r="15">
      <c r="A15" t="inlineStr">
        <is>
          <t>Note</t>
        </is>
      </c>
      <c r="B15" t="inlineStr">
        <is>
          <t>Estimated realistic LEED category scores.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Wipro Campus</t>
        </is>
      </c>
    </row>
    <row r="2">
      <c r="A2" t="inlineStr">
        <is>
          <t>Certification</t>
        </is>
      </c>
      <c r="B2" t="inlineStr">
        <is>
          <t>LEED Platinum</t>
        </is>
      </c>
    </row>
    <row r="4">
      <c r="A4" s="2" t="inlineStr">
        <is>
          <t>Category</t>
        </is>
      </c>
      <c r="B4" s="2" t="inlineStr">
        <is>
          <t>Max</t>
        </is>
      </c>
      <c r="C4" s="2" t="inlineStr">
        <is>
          <t>Awarded</t>
        </is>
      </c>
    </row>
    <row r="5">
      <c r="A5" t="inlineStr">
        <is>
          <t>Integrative Process</t>
        </is>
      </c>
      <c r="B5" t="n">
        <v>1</v>
      </c>
      <c r="C5" t="n">
        <v>1</v>
      </c>
    </row>
    <row r="6">
      <c r="A6" t="inlineStr">
        <is>
          <t>Location &amp; Transportation</t>
        </is>
      </c>
      <c r="B6" t="n">
        <v>15</v>
      </c>
      <c r="C6" t="n">
        <v>13</v>
      </c>
    </row>
    <row r="7">
      <c r="A7" t="inlineStr">
        <is>
          <t>Sustainable Sites</t>
        </is>
      </c>
      <c r="B7" t="n">
        <v>11</v>
      </c>
      <c r="C7" t="n">
        <v>9</v>
      </c>
    </row>
    <row r="8">
      <c r="A8" t="inlineStr">
        <is>
          <t>Water Efficiency</t>
        </is>
      </c>
      <c r="B8" t="n">
        <v>9</v>
      </c>
      <c r="C8" t="n">
        <v>8</v>
      </c>
    </row>
    <row r="9">
      <c r="A9" t="inlineStr">
        <is>
          <t>Energy &amp; Atmosphere</t>
        </is>
      </c>
      <c r="B9" t="n">
        <v>33</v>
      </c>
      <c r="C9" t="n">
        <v>29</v>
      </c>
    </row>
    <row r="10">
      <c r="A10" t="inlineStr">
        <is>
          <t>Materials &amp; Resources</t>
        </is>
      </c>
      <c r="B10" t="n">
        <v>18</v>
      </c>
      <c r="C10" t="n">
        <v>15</v>
      </c>
    </row>
    <row r="11">
      <c r="A11" t="inlineStr">
        <is>
          <t>Indoor Environmental Quality</t>
        </is>
      </c>
      <c r="B11" t="n">
        <v>13</v>
      </c>
      <c r="C11" t="n">
        <v>12</v>
      </c>
    </row>
    <row r="12">
      <c r="A12" t="inlineStr">
        <is>
          <t>Project Priorities</t>
        </is>
      </c>
      <c r="B12" t="n">
        <v>10</v>
      </c>
      <c r="C12" t="n">
        <v>7</v>
      </c>
    </row>
    <row r="13">
      <c r="A13" t="inlineStr">
        <is>
          <t>TOTAL</t>
        </is>
      </c>
      <c r="B13" t="n">
        <v>110</v>
      </c>
      <c r="C13" t="n">
        <v>94</v>
      </c>
    </row>
    <row r="15">
      <c r="A15" t="inlineStr">
        <is>
          <t>Note</t>
        </is>
      </c>
      <c r="B15" t="inlineStr">
        <is>
          <t>Estimated realistic LEED category scores.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DLF Cyber City</t>
        </is>
      </c>
    </row>
    <row r="2">
      <c r="A2" t="inlineStr">
        <is>
          <t>Certification</t>
        </is>
      </c>
      <c r="B2" t="inlineStr">
        <is>
          <t>IGBC Platinum</t>
        </is>
      </c>
    </row>
    <row r="4">
      <c r="A4" s="2" t="inlineStr">
        <is>
          <t>Category</t>
        </is>
      </c>
      <c r="B4" s="2" t="inlineStr">
        <is>
          <t>Max</t>
        </is>
      </c>
      <c r="C4" s="2" t="inlineStr">
        <is>
          <t>Awarded</t>
        </is>
      </c>
    </row>
    <row r="5">
      <c r="A5" t="inlineStr">
        <is>
          <t>Integrative Process</t>
        </is>
      </c>
      <c r="B5" t="n">
        <v>1</v>
      </c>
      <c r="C5" t="n">
        <v>1</v>
      </c>
    </row>
    <row r="6">
      <c r="A6" t="inlineStr">
        <is>
          <t>Location &amp; Transportation</t>
        </is>
      </c>
      <c r="B6" t="n">
        <v>15</v>
      </c>
      <c r="C6" t="n">
        <v>14</v>
      </c>
    </row>
    <row r="7">
      <c r="A7" t="inlineStr">
        <is>
          <t>Sustainable Sites</t>
        </is>
      </c>
      <c r="B7" t="n">
        <v>11</v>
      </c>
      <c r="C7" t="n">
        <v>8</v>
      </c>
    </row>
    <row r="8">
      <c r="A8" t="inlineStr">
        <is>
          <t>Water Efficiency</t>
        </is>
      </c>
      <c r="B8" t="n">
        <v>9</v>
      </c>
      <c r="C8" t="n">
        <v>7</v>
      </c>
    </row>
    <row r="9">
      <c r="A9" t="inlineStr">
        <is>
          <t>Energy &amp; Atmosphere</t>
        </is>
      </c>
      <c r="B9" t="n">
        <v>33</v>
      </c>
      <c r="C9" t="n">
        <v>27</v>
      </c>
    </row>
    <row r="10">
      <c r="A10" t="inlineStr">
        <is>
          <t>Materials &amp; Resources</t>
        </is>
      </c>
      <c r="B10" t="n">
        <v>18</v>
      </c>
      <c r="C10" t="n">
        <v>14</v>
      </c>
    </row>
    <row r="11">
      <c r="A11" t="inlineStr">
        <is>
          <t>Indoor Environmental Quality</t>
        </is>
      </c>
      <c r="B11" t="n">
        <v>13</v>
      </c>
      <c r="C11" t="n">
        <v>10</v>
      </c>
    </row>
    <row r="12">
      <c r="A12" t="inlineStr">
        <is>
          <t>Project Priorities</t>
        </is>
      </c>
      <c r="B12" t="n">
        <v>10</v>
      </c>
      <c r="C12" t="n">
        <v>7</v>
      </c>
    </row>
    <row r="13">
      <c r="A13" t="inlineStr">
        <is>
          <t>TOTAL</t>
        </is>
      </c>
      <c r="B13" t="n">
        <v>110</v>
      </c>
      <c r="C13" t="n">
        <v>88</v>
      </c>
    </row>
    <row r="15">
      <c r="A15" t="inlineStr">
        <is>
          <t>Note</t>
        </is>
      </c>
      <c r="B15" t="inlineStr">
        <is>
          <t>Estimated realistic LEED category scores.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Olympia Technology Park</t>
        </is>
      </c>
    </row>
    <row r="2">
      <c r="A2" t="inlineStr">
        <is>
          <t>Certification</t>
        </is>
      </c>
      <c r="B2" t="inlineStr">
        <is>
          <t>LEED Gold</t>
        </is>
      </c>
    </row>
    <row r="4">
      <c r="A4" s="2" t="inlineStr">
        <is>
          <t>Category</t>
        </is>
      </c>
      <c r="B4" s="2" t="inlineStr">
        <is>
          <t>Max</t>
        </is>
      </c>
      <c r="C4" s="2" t="inlineStr">
        <is>
          <t>Awarded</t>
        </is>
      </c>
    </row>
    <row r="5">
      <c r="A5" t="inlineStr">
        <is>
          <t>Integrative Process</t>
        </is>
      </c>
      <c r="B5" t="n">
        <v>1</v>
      </c>
      <c r="C5" t="n">
        <v>1</v>
      </c>
    </row>
    <row r="6">
      <c r="A6" t="inlineStr">
        <is>
          <t>Location &amp; Transportation</t>
        </is>
      </c>
      <c r="B6" t="n">
        <v>15</v>
      </c>
      <c r="C6" t="n">
        <v>11</v>
      </c>
    </row>
    <row r="7">
      <c r="A7" t="inlineStr">
        <is>
          <t>Sustainable Sites</t>
        </is>
      </c>
      <c r="B7" t="n">
        <v>11</v>
      </c>
      <c r="C7" t="n">
        <v>8</v>
      </c>
    </row>
    <row r="8">
      <c r="A8" t="inlineStr">
        <is>
          <t>Water Efficiency</t>
        </is>
      </c>
      <c r="B8" t="n">
        <v>9</v>
      </c>
      <c r="C8" t="n">
        <v>7</v>
      </c>
    </row>
    <row r="9">
      <c r="A9" t="inlineStr">
        <is>
          <t>Energy &amp; Atmosphere</t>
        </is>
      </c>
      <c r="B9" t="n">
        <v>33</v>
      </c>
      <c r="C9" t="n">
        <v>23</v>
      </c>
    </row>
    <row r="10">
      <c r="A10" t="inlineStr">
        <is>
          <t>Materials &amp; Resources</t>
        </is>
      </c>
      <c r="B10" t="n">
        <v>18</v>
      </c>
      <c r="C10" t="n">
        <v>12</v>
      </c>
    </row>
    <row r="11">
      <c r="A11" t="inlineStr">
        <is>
          <t>Indoor Environmental Quality</t>
        </is>
      </c>
      <c r="B11" t="n">
        <v>13</v>
      </c>
      <c r="C11" t="n">
        <v>10</v>
      </c>
    </row>
    <row r="12">
      <c r="A12" t="inlineStr">
        <is>
          <t>Project Priorities</t>
        </is>
      </c>
      <c r="B12" t="n">
        <v>10</v>
      </c>
      <c r="C12" t="n">
        <v>6</v>
      </c>
    </row>
    <row r="13">
      <c r="A13" t="inlineStr">
        <is>
          <t>TOTAL</t>
        </is>
      </c>
      <c r="B13" t="n">
        <v>110</v>
      </c>
      <c r="C13" t="n">
        <v>78</v>
      </c>
    </row>
    <row r="15">
      <c r="A15" t="inlineStr">
        <is>
          <t>Note</t>
        </is>
      </c>
      <c r="B15" t="inlineStr">
        <is>
          <t>Estimated realistic LEED category scores.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LEED v5 Interactive Green Building Scorecard</t>
        </is>
      </c>
    </row>
    <row r="3">
      <c r="A3" s="4" t="inlineStr">
        <is>
          <t>Building Name</t>
        </is>
      </c>
      <c r="B3" s="5" t="inlineStr"/>
      <c r="C3" s="5" t="n"/>
      <c r="D3" s="5" t="n"/>
    </row>
    <row r="4">
      <c r="A4" s="4" t="inlineStr">
        <is>
          <t>Project Type</t>
        </is>
      </c>
      <c r="B4" s="5" t="inlineStr">
        <is>
          <t>New Building</t>
        </is>
      </c>
      <c r="C4" s="5" t="n"/>
      <c r="D4" s="5" t="n"/>
    </row>
    <row r="5">
      <c r="A5" s="5" t="n"/>
      <c r="B5" s="5" t="n"/>
      <c r="C5" s="5" t="n"/>
      <c r="D5" s="5" t="n"/>
    </row>
    <row r="6">
      <c r="A6" s="6" t="inlineStr">
        <is>
          <t>Category</t>
        </is>
      </c>
      <c r="B6" s="6" t="inlineStr">
        <is>
          <t>Max</t>
        </is>
      </c>
      <c r="C6" s="6" t="inlineStr">
        <is>
          <t>Your Score</t>
        </is>
      </c>
      <c r="D6" s="6" t="inlineStr">
        <is>
          <t>Status</t>
        </is>
      </c>
    </row>
    <row r="7">
      <c r="A7" s="5" t="inlineStr">
        <is>
          <t>Integrative Process</t>
        </is>
      </c>
      <c r="B7" s="5" t="n">
        <v>1</v>
      </c>
      <c r="C7" s="5" t="n">
        <v>0</v>
      </c>
      <c r="D7" s="5">
        <f>IF(C7&lt;=B7,"OK","Exceeds Max")</f>
        <v/>
      </c>
    </row>
    <row r="8">
      <c r="A8" s="5" t="inlineStr">
        <is>
          <t>Location &amp; Transportation</t>
        </is>
      </c>
      <c r="B8" s="5" t="n">
        <v>15</v>
      </c>
      <c r="C8" s="5" t="n">
        <v>0</v>
      </c>
      <c r="D8" s="5">
        <f>IF(C8&lt;=B8,"OK","Exceeds Max")</f>
        <v/>
      </c>
    </row>
    <row r="9">
      <c r="A9" s="5" t="inlineStr">
        <is>
          <t>Sustainable Sites</t>
        </is>
      </c>
      <c r="B9" s="5" t="n">
        <v>11</v>
      </c>
      <c r="C9" s="5" t="n">
        <v>0</v>
      </c>
      <c r="D9" s="5">
        <f>IF(C9&lt;=B9,"OK","Exceeds Max")</f>
        <v/>
      </c>
    </row>
    <row r="10">
      <c r="A10" s="5" t="inlineStr">
        <is>
          <t>Water Efficiency</t>
        </is>
      </c>
      <c r="B10" s="5" t="n">
        <v>9</v>
      </c>
      <c r="C10" s="5" t="n">
        <v>0</v>
      </c>
      <c r="D10" s="5">
        <f>IF(C10&lt;=B10,"OK","Exceeds Max")</f>
        <v/>
      </c>
    </row>
    <row r="11">
      <c r="A11" s="5" t="inlineStr">
        <is>
          <t>Energy &amp; Atmosphere</t>
        </is>
      </c>
      <c r="B11" s="5" t="n">
        <v>33</v>
      </c>
      <c r="C11" s="5" t="n">
        <v>0</v>
      </c>
      <c r="D11" s="5">
        <f>IF(C11&lt;=B11,"OK","Exceeds Max")</f>
        <v/>
      </c>
    </row>
    <row r="12">
      <c r="A12" s="5" t="inlineStr">
        <is>
          <t>Materials &amp; Resources</t>
        </is>
      </c>
      <c r="B12" s="5" t="n">
        <v>18</v>
      </c>
      <c r="C12" s="5" t="n">
        <v>0</v>
      </c>
      <c r="D12" s="5">
        <f>IF(C12&lt;=B12,"OK","Exceeds Max")</f>
        <v/>
      </c>
    </row>
    <row r="13">
      <c r="A13" s="5" t="inlineStr">
        <is>
          <t>Indoor Environmental Quality</t>
        </is>
      </c>
      <c r="B13" s="5" t="n">
        <v>13</v>
      </c>
      <c r="C13" s="5" t="n">
        <v>0</v>
      </c>
      <c r="D13" s="5">
        <f>IF(C13&lt;=B13,"OK","Exceeds Max")</f>
        <v/>
      </c>
    </row>
    <row r="14">
      <c r="A14" s="5" t="inlineStr">
        <is>
          <t>Project Priorities</t>
        </is>
      </c>
      <c r="B14" s="5" t="n">
        <v>10</v>
      </c>
      <c r="C14" s="5" t="n">
        <v>0</v>
      </c>
      <c r="D14" s="5">
        <f>IF(C14&lt;=B14,"OK","Exceeds Max")</f>
        <v/>
      </c>
    </row>
    <row r="15">
      <c r="A15" s="5" t="n"/>
      <c r="B15" s="5" t="n"/>
      <c r="C15" s="5" t="n"/>
      <c r="D15" s="5" t="n"/>
    </row>
    <row r="16">
      <c r="A16" s="4" t="inlineStr">
        <is>
          <t>TOTAL</t>
        </is>
      </c>
      <c r="B16" s="5" t="n">
        <v>110</v>
      </c>
      <c r="C16" s="5">
        <f>SUM(C7:C14)</f>
        <v/>
      </c>
      <c r="D16" s="5" t="n"/>
    </row>
    <row r="17">
      <c r="A17" s="5" t="n"/>
      <c r="B17" s="5" t="n"/>
      <c r="C17" s="5" t="n"/>
      <c r="D17" s="5" t="n"/>
    </row>
    <row r="18">
      <c r="A18" s="5" t="inlineStr">
        <is>
          <t>Certification</t>
        </is>
      </c>
      <c r="B18" s="7">
        <f>IF(C16&gt;=80,"LEED Platinum",IF(C16&gt;=60,"LEED Gold",IF(C16&gt;=50,"LEED Silver",IF(C16&gt;=40,"LEED Certified","Not Certified"))))</f>
        <v/>
      </c>
      <c r="C18" s="5" t="n"/>
      <c r="D18" s="5" t="n"/>
    </row>
    <row r="19">
      <c r="A19" s="5" t="n"/>
      <c r="B19" s="5" t="n"/>
      <c r="C19" s="5" t="n"/>
      <c r="D19" s="5" t="n"/>
    </row>
    <row r="20">
      <c r="A20" s="5" t="inlineStr">
        <is>
          <t>Performance Meter</t>
        </is>
      </c>
      <c r="B20" s="5" t="n"/>
      <c r="C20" s="5">
        <f>C16</f>
        <v/>
      </c>
      <c r="D20" s="5" t="n"/>
    </row>
  </sheetData>
  <mergeCells count="1">
    <mergeCell ref="A1:D1"/>
  </mergeCells>
  <conditionalFormatting sqref="C7:C16">
    <cfRule type="colorScale" priority="1">
      <colorScale>
        <cfvo type="num" val="0"/>
        <cfvo type="percentile" val="50"/>
        <cfvo type="num" val="33"/>
        <color rgb="00F8696B"/>
        <color rgb="00FFEB84"/>
        <color rgb="0063BE7B"/>
      </colorScale>
    </cfRule>
  </conditionalFormatting>
  <conditionalFormatting sqref="C16">
    <cfRule type="cellIs" priority="2" operator="greaterThanOrEqual" dxfId="0">
      <formula>80</formula>
    </cfRule>
    <cfRule type="cellIs" priority="3" operator="between" dxfId="1">
      <formula>60</formula>
      <formula>79</formula>
    </cfRule>
    <cfRule type="cellIs" priority="4" operator="lessThan" dxfId="2">
      <formula>60</formula>
    </cfRule>
  </conditionalFormatting>
  <dataValidations count="9">
    <dataValidation sqref="B4" showDropDown="0" showInputMessage="0" showErrorMessage="0" allowBlank="0" type="list">
      <formula1>"New Building,Core &amp; Shell"</formula1>
    </dataValidation>
    <dataValidation sqref="C7" showDropDown="0" showInputMessage="0" showErrorMessage="0" allowBlank="0" type="whole" operator="between">
      <formula1>0</formula1>
      <formula2>1</formula2>
    </dataValidation>
    <dataValidation sqref="C8" showDropDown="0" showInputMessage="0" showErrorMessage="0" allowBlank="0" type="whole" operator="between">
      <formula1>0</formula1>
      <formula2>15</formula2>
    </dataValidation>
    <dataValidation sqref="C9" showDropDown="0" showInputMessage="0" showErrorMessage="0" allowBlank="0" type="whole" operator="between">
      <formula1>0</formula1>
      <formula2>11</formula2>
    </dataValidation>
    <dataValidation sqref="C10" showDropDown="0" showInputMessage="0" showErrorMessage="0" allowBlank="0" type="whole" operator="between">
      <formula1>0</formula1>
      <formula2>9</formula2>
    </dataValidation>
    <dataValidation sqref="C11" showDropDown="0" showInputMessage="0" showErrorMessage="0" allowBlank="0" type="whole" operator="between">
      <formula1>0</formula1>
      <formula2>33</formula2>
    </dataValidation>
    <dataValidation sqref="C12" showDropDown="0" showInputMessage="0" showErrorMessage="0" allowBlank="0" type="whole" operator="between">
      <formula1>0</formula1>
      <formula2>18</formula2>
    </dataValidation>
    <dataValidation sqref="C13" showDropDown="0" showInputMessage="0" showErrorMessage="0" allowBlank="0" type="whole" operator="between">
      <formula1>0</formula1>
      <formula2>13</formula2>
    </dataValidation>
    <dataValidation sqref="C14" showDropDown="0" showInputMessage="0" showErrorMessage="0" allowBlank="0" type="whole" operator="between">
      <formula1>0</formula1>
      <formula2>10</formula2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57CE94E9-B6CE-4C07-B9FC-2A5E9AAF04CA}"/>
</file>

<file path=customXml/itemProps2.xml><?xml version="1.0" encoding="utf-8"?>
<ds:datastoreItem xmlns:ds="http://schemas.openxmlformats.org/officeDocument/2006/customXml" ds:itemID="{DB25F95F-7E9B-42B9-9314-2506971F46C0}"/>
</file>

<file path=customXml/itemProps3.xml><?xml version="1.0" encoding="utf-8"?>
<ds:datastoreItem xmlns:ds="http://schemas.openxmlformats.org/officeDocument/2006/customXml" ds:itemID="{A9A3D822-153C-4CC4-A52E-44F13BE5BF2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2026-09-22T06:44:33Z</dcterms:created>
  <dcterms:modified xsi:type="dcterms:W3CDTF">2026-09-22T06:44:33Z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