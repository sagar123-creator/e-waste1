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Divesh Jadhav\Downloads\"/>
    </mc:Choice>
  </mc:AlternateContent>
  <xr:revisionPtr revIDLastSave="0" documentId="13_ncr:1_{4CF83BA9-0BA0-4C69-82FF-8CD16FE12962}" xr6:coauthVersionLast="47" xr6:coauthVersionMax="47" xr10:uidLastSave="{00000000-0000-0000-0000-000000000000}"/>
  <bookViews>
    <workbookView xWindow="-108" yWindow="-108" windowWidth="23256" windowHeight="12456" tabRatio="500" firstSheet="6" activeTab="6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9" l="1"/>
  <c r="C29" i="9"/>
  <c r="C28" i="9"/>
  <c r="F16" i="1" s="1"/>
  <c r="G16" i="1" s="1"/>
  <c r="H16" i="1" s="1"/>
  <c r="C30" i="8"/>
  <c r="C29" i="8"/>
  <c r="C28" i="8"/>
  <c r="F15" i="1" s="1"/>
  <c r="G15" i="1" s="1"/>
  <c r="H15" i="1" s="1"/>
  <c r="C31" i="7"/>
  <c r="C30" i="7"/>
  <c r="C29" i="7"/>
  <c r="F14" i="1" s="1"/>
  <c r="G14" i="1" s="1"/>
  <c r="H14" i="1" s="1"/>
  <c r="C28" i="7"/>
  <c r="C33" i="6"/>
  <c r="C32" i="6"/>
  <c r="C31" i="6"/>
  <c r="C30" i="6"/>
  <c r="C29" i="6"/>
  <c r="C28" i="6"/>
  <c r="F13" i="1" s="1"/>
  <c r="G13" i="1" s="1"/>
  <c r="H13" i="1" s="1"/>
  <c r="F28" i="5"/>
  <c r="E28" i="5"/>
  <c r="F12" i="1" s="1"/>
  <c r="G12" i="1" s="1"/>
  <c r="H12" i="1" s="1"/>
  <c r="D28" i="5"/>
  <c r="G33" i="4"/>
  <c r="F33" i="4"/>
  <c r="E33" i="4"/>
  <c r="D33" i="4"/>
  <c r="C33" i="4"/>
  <c r="I33" i="3"/>
  <c r="H33" i="3"/>
  <c r="G33" i="3"/>
  <c r="F33" i="3"/>
  <c r="E33" i="3"/>
  <c r="D33" i="3"/>
  <c r="C33" i="3"/>
  <c r="J31" i="3"/>
  <c r="J30" i="3"/>
  <c r="J29" i="3"/>
  <c r="J28" i="3"/>
  <c r="J27" i="3"/>
  <c r="J26" i="3"/>
  <c r="J25" i="3"/>
  <c r="J24" i="3"/>
  <c r="J23" i="3"/>
  <c r="J22" i="3"/>
  <c r="J21" i="3"/>
  <c r="J20" i="3"/>
  <c r="J33" i="3" s="1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D17" i="1"/>
  <c r="F11" i="1"/>
  <c r="G11" i="1" s="1"/>
  <c r="H11" i="1" s="1"/>
  <c r="F10" i="1"/>
  <c r="G10" i="1" s="1"/>
  <c r="H10" i="1" s="1"/>
  <c r="H17" i="1" l="1"/>
  <c r="F5" i="1" l="1"/>
  <c r="D5" i="1"/>
</calcChain>
</file>

<file path=xl/sharedStrings.xml><?xml version="1.0" encoding="utf-8"?>
<sst xmlns="http://schemas.openxmlformats.org/spreadsheetml/2006/main" count="473" uniqueCount="243">
  <si>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</si>
  <si>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</si>
  <si>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</si>
  <si>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</si>
  <si>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</si>
  <si>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</si>
  <si>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</si>
  <si>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</si>
  <si>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</si>
  <si>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</si>
  <si>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</si>
  <si>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</si>
  <si>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</si>
  <si>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</si>
  <si>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</si>
  <si>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</si>
  <si>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</si>
  <si>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</si>
  <si>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</si>
  <si>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</si>
  <si>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</si>
  <si>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</si>
  <si>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</si>
  <si>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</si>
  <si>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</si>
  <si>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</si>
  <si>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</si>
  <si>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</si>
  <si>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</si>
  <si>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</si>
  <si>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</si>
  <si>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</si>
  <si>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</si>
  <si>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</si>
  <si>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</si>
  <si>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</si>
  <si>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</si>
  <si>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</si>
  <si>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</si>
  <si>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</si>
  <si>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</si>
  <si>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</si>
  <si>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</si>
  <si>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</si>
  <si>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</si>
  <si>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</si>
  <si>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</si>
  <si>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</si>
  <si>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</si>
  <si>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</si>
  <si>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</si>
  <si>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</si>
  <si>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</si>
  <si>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</si>
  <si>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</si>
  <si>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</si>
  <si>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Anakapalli</t>
  </si>
  <si>
    <t>31-03-2026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</si>
  <si>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</si>
  <si>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</si>
  <si>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</si>
  <si>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</si>
  <si>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</si>
  <si>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</si>
  <si>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</si>
  <si>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</si>
  <si>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</si>
  <si>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</si>
  <si>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</si>
  <si>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</si>
  <si>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</si>
  <si>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</si>
  <si>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</si>
  <si>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</si>
  <si>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</si>
  <si>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</si>
  <si>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</si>
  <si>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</si>
  <si>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</si>
  <si>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</si>
  <si>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</si>
  <si>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YSR Kadapa</t>
  </si>
  <si>
    <t>Alluri Sitharama Raju</t>
  </si>
  <si>
    <t>STATE TOTAL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</si>
  <si>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</si>
  <si>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</si>
  <si>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</si>
  <si>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</si>
  <si>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</si>
  <si>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</si>
  <si>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</si>
  <si>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</si>
  <si>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Collected through APCB-authorized collection centres and EPR drives</t>
  </si>
  <si>
    <t>Collected via AP Municipal Collection Network door-to-door drive + registered EPR collection centers (APPCB-coordinated)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</si>
  <si>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</si>
  <si>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</si>
  <si>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</si>
  <si>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</si>
  <si>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</si>
  <si>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</si>
  <si>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</si>
  <si>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</si>
  <si>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Andhra E-Waste Recycling Facility</t>
  </si>
  <si>
    <t>APPCB Authorised</t>
  </si>
  <si>
    <t>31-03-2027</t>
  </si>
  <si>
    <t>AP Green Dismantlers</t>
  </si>
  <si>
    <t>EcoRecycle AP</t>
  </si>
  <si>
    <t>Vizag Metal Recovery</t>
  </si>
  <si>
    <t>EPR-authorised Collection-cum-Dismantling Unit 4</t>
  </si>
  <si>
    <t>APPCB Authorised Dismantler</t>
  </si>
  <si>
    <t>Thrissur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</si>
  <si>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</si>
  <si>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</si>
  <si>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</si>
  <si>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</si>
  <si>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</si>
  <si>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</si>
  <si>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</si>
  <si>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</si>
  <si>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</si>
  <si>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EPR/2024/AP/001</t>
  </si>
  <si>
    <t>Compliant</t>
  </si>
  <si>
    <t>Yes</t>
  </si>
  <si>
    <t>No</t>
  </si>
  <si>
    <t>N/A</t>
  </si>
  <si>
    <t>Annual EPR recycling target met</t>
  </si>
  <si>
    <t>EPR/2024/AP/002</t>
  </si>
  <si>
    <t>Target met via authorised recycler tie-up</t>
  </si>
  <si>
    <t>EPR/2024/AP/003</t>
  </si>
  <si>
    <t>Target met</t>
  </si>
  <si>
    <t>EPR/2024/AP/004</t>
  </si>
  <si>
    <t>Partially Compliant</t>
  </si>
  <si>
    <t>EPR target under-achieved; show-cause issued</t>
  </si>
  <si>
    <t>EPR/2024/AP/005</t>
  </si>
  <si>
    <t>Inspection pending, self-reported compliant</t>
  </si>
  <si>
    <t>EPR/2024/AP/006</t>
  </si>
  <si>
    <t>EPR/2024/AP/007</t>
  </si>
  <si>
    <t>Non-Compliant</t>
  </si>
  <si>
    <t>Penalty proceedings ongoing</t>
  </si>
  <si>
    <t>EPR/2024/AP/008</t>
  </si>
  <si>
    <t>EPR/2024/AP/009</t>
  </si>
  <si>
    <t>Not yet inspected this cycle</t>
  </si>
  <si>
    <t>Registered Producer / EPR Entity 10</t>
  </si>
  <si>
    <t>EPR/2024/AP/010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</si>
  <si>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</si>
  <si>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</si>
  <si>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</si>
  <si>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</si>
  <si>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</si>
  <si>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</si>
  <si>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</si>
  <si>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</si>
  <si>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</si>
  <si>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</si>
  <si>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</si>
  <si>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</si>
  <si>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Informal E-Waste Cluster - Site 1</t>
  </si>
  <si>
    <t>Partially Formalized</t>
  </si>
  <si>
    <t>Registered as collection point; workers trained under skill program</t>
  </si>
  <si>
    <t>Remediation ongoing</t>
  </si>
  <si>
    <t>Informal E-Waste Cluster - Site 2</t>
  </si>
  <si>
    <t>Vijayawada</t>
  </si>
  <si>
    <t>Awareness + registration drive conducted</t>
  </si>
  <si>
    <t>Monitoring ongoing</t>
  </si>
  <si>
    <t>Informal E-Waste Cluster - Site 3</t>
  </si>
  <si>
    <t>Not Formalized</t>
  </si>
  <si>
    <t>Initial survey conducted</t>
  </si>
  <si>
    <t>Formalization action pending</t>
  </si>
  <si>
    <t>Informal E-Waste Cluster - Site 4</t>
  </si>
  <si>
    <t>Formalized</t>
  </si>
  <si>
    <t>Fully integrated into authorised collection network</t>
  </si>
  <si>
    <t>Completed</t>
  </si>
  <si>
    <t>Informal E-Waste Cluster - Site 5</t>
  </si>
  <si>
    <t>Skill training conducted for scrap workers</t>
  </si>
  <si>
    <t>Informal E-Waste Cluster - Site 6</t>
  </si>
  <si>
    <t>Site identified, action plan pending</t>
  </si>
  <si>
    <t>Not yet started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</si>
  <si>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</si>
  <si>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</si>
  <si>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</si>
  <si>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</si>
  <si>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</si>
  <si>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</si>
  <si>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</si>
  <si>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</si>
  <si>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</si>
  <si>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</si>
  <si>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</si>
  <si>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</si>
  <si>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Water</t>
  </si>
  <si>
    <t>10-05-2026</t>
  </si>
  <si>
    <t>Exceeds Limit (Pb, Cd)</t>
  </si>
  <si>
    <t>Follow-up by APPCB</t>
  </si>
  <si>
    <t>Follow-up remediation plan submitted to APPCB</t>
  </si>
  <si>
    <t>Soil</t>
  </si>
  <si>
    <t>15-05-2026</t>
  </si>
  <si>
    <t>Within Limit</t>
  </si>
  <si>
    <t>Routine monitoring, no major concern</t>
  </si>
  <si>
    <t>Water</t>
  </si>
  <si>
    <t>20-05-2026</t>
  </si>
  <si>
    <t>Exceeds Limit (Hg)</t>
  </si>
  <si>
    <t>Health camp scheduled next quarter</t>
  </si>
  <si>
    <t>25-05-2026</t>
  </si>
  <si>
    <t>Site fully formalized, monitoring for compliance</t>
  </si>
  <si>
    <t>Air + Soil</t>
  </si>
  <si>
    <t>01-06-2026</t>
  </si>
  <si>
    <t>Exceeds Limit (particulate matter)</t>
  </si>
  <si>
    <t>Follow-up remediation planned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</si>
  <si>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</si>
  <si>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</si>
  <si>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</si>
  <si>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</si>
  <si>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</si>
  <si>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</si>
  <si>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</si>
  <si>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</si>
  <si>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</si>
  <si>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Statewide E-Waste Collection Campaign</t>
  </si>
  <si>
    <t>Statewide (Andhra Pradesh)</t>
  </si>
  <si>
    <t>15-07-2025</t>
  </si>
  <si>
    <t>Household E-Waste Buyback / Collection Drive</t>
  </si>
  <si>
    <t>General public / households (statewide)</t>
  </si>
  <si>
    <t>School Awareness Drive</t>
  </si>
  <si>
    <t>18-04-2026</t>
  </si>
  <si>
    <t>School Collection Drive</t>
  </si>
  <si>
    <t>Students, Grades 6-10</t>
  </si>
  <si>
    <t>Community Collection Drive</t>
  </si>
  <si>
    <t>22-04-2026</t>
  </si>
  <si>
    <t>RWA/Community Drive</t>
  </si>
  <si>
    <t>Residents' Welfare Associations</t>
  </si>
  <si>
    <t>College E-Waste Awareness</t>
  </si>
  <si>
    <t>05-05-2026</t>
  </si>
  <si>
    <t>Public Awareness Campaign</t>
  </si>
  <si>
    <t>General public</t>
  </si>
  <si>
    <t>College Campus E-Waste Collection</t>
  </si>
  <si>
    <t>12-05-2026</t>
  </si>
  <si>
    <t>College students</t>
  </si>
  <si>
    <t>Kudumbashree E-Waste Awareness Session</t>
  </si>
  <si>
    <t>Kollam</t>
  </si>
  <si>
    <t>Kudumbashree members / households</t>
  </si>
  <si>
    <t>Total Programs Conducted</t>
  </si>
  <si>
    <t>Collection Drives (School+RWA)</t>
  </si>
  <si>
    <t>Total Participants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</si>
</sst>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>
    <font>
      <sz val="11"/>
      <name val="Calibri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sz val="11"/>
      <color rgb="FF000000"/>
      <name val="Calibri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/>
    <xf numFmtId="0" fontId="8" fillId="3" borderId="1" xfId="0" applyFont="1" applyFill="1" applyBorder="1" applyAlignment="1"/>
    <xf numFmtId="0" fontId="9" fillId="0" borderId="0" xfId="0" applyFont="1" applyAlignment="1"/>
    <xf numFmtId="0" fontId="10" fillId="0" borderId="0" xfId="0" applyFont="1" applyAlignment="1"/>
    <xf numFmtId="0" fontId="8" fillId="0" borderId="1" xfId="0" applyFont="1" applyBorder="1" applyAlignment="1"/>
    <xf numFmtId="0" fontId="11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5" fontId="11" fillId="6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/>
    <xf numFmtId="0" fontId="0" fillId="0" borderId="0" xfId="0" applyAlignment="1"/>
    <xf numFmtId="0" fontId="2" fillId="0" borderId="0" xfId="0" applyFont="1" applyAlignment="1"/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opLeftCell="A9" workbookViewId="0"/>
  </sheetViews>
  <sheetFormatPr defaultRowHeight="14.45" zeroHeight="1"/>
  <cols>
    <col min="1" max="1" width="3" style="19" customWidth="1"/>
    <col min="2" max="2" width="6" style="19" customWidth="1"/>
    <col min="3" max="3" width="30" style="19" customWidth="1"/>
    <col min="4" max="4" width="10" style="19" customWidth="1"/>
    <col min="5" max="6" width="16" style="19" customWidth="1"/>
    <col min="7" max="7" width="14" style="19" customWidth="1"/>
    <col min="8" max="8" width="13" style="19" customWidth="1"/>
    <col min="9" max="9" width="10" style="19" customWidth="1"/>
  </cols>
  <sheetData>
    <row r="1" spans="1:9"/>
    <row r="2" spans="1:9" ht="25.5" customHeight="1">
      <c r="A2" s="22" t="s">
        <v>0</v>
      </c>
      <c r="B2" s="21"/>
      <c r="C2" s="21"/>
      <c r="D2" s="21"/>
      <c r="E2" s="21"/>
      <c r="F2" s="21"/>
      <c r="G2" s="21"/>
      <c r="H2" s="21"/>
    </row>
    <row r="3" spans="1:9" ht="15" customHeight="1">
      <c r="B3" s="20" t="s">
        <v>1</v>
      </c>
      <c r="C3" s="21"/>
      <c r="D3" s="21"/>
      <c r="E3" s="21"/>
      <c r="F3" s="21"/>
      <c r="G3" s="21"/>
      <c r="H3" s="21"/>
      <c r="I3" s="21"/>
    </row>
    <row r="4" spans="1:9"/>
    <row r="5" spans="1:9" ht="15" customHeight="1">
      <c r="B5" s="24" t="s">
        <v>2</v>
      </c>
      <c r="C5" s="21"/>
      <c r="D5" s="23">
        <f>ROUND(H17,1)</f>
        <v>65.900000000000006</v>
      </c>
      <c r="E5" s="21"/>
      <c r="F5" s="25" t="str">
        <f>IF(H17&gt;=85,"EXCELLENT",IF(H17&gt;=65,"GOOD",IF(H17&gt;=45,"NEEDS IMPROVEMENT","CRITICAL")))</f>
        <v>GOOD</v>
      </c>
      <c r="G5" s="21"/>
      <c r="H5" s="21"/>
      <c r="I5" s="21"/>
    </row>
    <row r="6" spans="1:9" ht="15" customHeight="1">
      <c r="B6" s="21"/>
      <c r="C6" s="21"/>
      <c r="D6" s="21"/>
      <c r="E6" s="21"/>
      <c r="F6" s="21"/>
      <c r="G6" s="21"/>
      <c r="H6" s="21"/>
      <c r="I6" s="21"/>
    </row>
    <row r="7" spans="1:9" ht="15" customHeight="1">
      <c r="B7" s="21"/>
      <c r="C7" s="21"/>
      <c r="D7" s="21"/>
      <c r="E7" s="21"/>
      <c r="F7" s="21"/>
      <c r="G7" s="21"/>
      <c r="H7" s="21"/>
      <c r="I7" s="21"/>
    </row>
    <row r="8" spans="1:9"/>
    <row r="9" spans="1:9" ht="30" customHeight="1"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</row>
    <row r="10" spans="1:9" ht="30" customHeight="1">
      <c r="B10" s="2">
        <v>1</v>
      </c>
      <c r="C10" s="3" t="s">
        <v>10</v>
      </c>
      <c r="D10" s="2">
        <v>15</v>
      </c>
      <c r="E10" s="4">
        <v>5</v>
      </c>
      <c r="F10" s="2">
        <f>COUNTIF('1_Generation_Inventory'!C6:C25,"?*")</f>
        <v>0</v>
      </c>
      <c r="G10" s="5">
        <f t="shared" ref="G10:G16" si="0">IF(ISERROR(MIN(F10/E10,1)),0,MIN(F10/E10,1))</f>
        <v>0</v>
      </c>
      <c r="H10" s="6">
        <f t="shared" ref="H10:H16" si="1">ROUND(G10*D10,1)</f>
        <v>0</v>
      </c>
    </row>
    <row r="11" spans="1:9" ht="30" customHeight="1">
      <c r="B11" s="2">
        <v>2</v>
      </c>
      <c r="C11" s="3" t="s">
        <v>11</v>
      </c>
      <c r="D11" s="2">
        <v>20</v>
      </c>
      <c r="E11" s="7">
        <v>1</v>
      </c>
      <c r="F11" s="5">
        <f>IF(ISERROR('2_Collection_Log'!F27/'2_Collection_Log'!C27),0,'2_Collection_Log'!F27/'2_Collection_Log'!C27)</f>
        <v>0.96153846153846156</v>
      </c>
      <c r="G11" s="5">
        <f t="shared" si="0"/>
        <v>0.96153846153846156</v>
      </c>
      <c r="H11" s="6">
        <f t="shared" si="1"/>
        <v>19.2</v>
      </c>
    </row>
    <row r="12" spans="1:9" ht="30" customHeight="1">
      <c r="B12" s="2">
        <v>3</v>
      </c>
      <c r="C12" s="3" t="s">
        <v>12</v>
      </c>
      <c r="D12" s="2">
        <v>20</v>
      </c>
      <c r="E12" s="7">
        <v>1</v>
      </c>
      <c r="F12" s="5">
        <f>IF(ISERROR(('3_Recycling_Infrastructure'!E28*1000)/'2_Collection_Log'!C27),0,('3_Recycling_Infrastructure'!E28*1000)/'2_Collection_Log'!C27)</f>
        <v>4.4102564102564106</v>
      </c>
      <c r="G12" s="5">
        <f t="shared" si="0"/>
        <v>1</v>
      </c>
      <c r="H12" s="6">
        <f t="shared" si="1"/>
        <v>20</v>
      </c>
    </row>
    <row r="13" spans="1:9" ht="30" customHeight="1">
      <c r="B13" s="2">
        <v>4</v>
      </c>
      <c r="C13" s="3" t="s">
        <v>13</v>
      </c>
      <c r="D13" s="2">
        <v>15</v>
      </c>
      <c r="E13" s="7">
        <v>1</v>
      </c>
      <c r="F13" s="5">
        <f>IF(ISERROR('4_Compliance_Tracker'!C28/'4_Compliance_Tracker'!C29),0,'4_Compliance_Tracker'!C28/'4_Compliance_Tracker'!C29)</f>
        <v>0.8</v>
      </c>
      <c r="G13" s="5">
        <f t="shared" si="0"/>
        <v>0.8</v>
      </c>
      <c r="H13" s="6">
        <f t="shared" si="1"/>
        <v>12</v>
      </c>
    </row>
    <row r="14" spans="1:9" ht="30" customHeight="1">
      <c r="B14" s="2">
        <v>5</v>
      </c>
      <c r="C14" s="3" t="s">
        <v>14</v>
      </c>
      <c r="D14" s="2">
        <v>10</v>
      </c>
      <c r="E14" s="7">
        <v>1</v>
      </c>
      <c r="F14" s="5">
        <f>IF(ISERROR('5_Informal_Sector_Hotspots'!C29/'5_Informal_Sector_Hotspots'!C28),0,'5_Informal_Sector_Hotspots'!C29/'5_Informal_Sector_Hotspots'!C28)</f>
        <v>0.16666666666666666</v>
      </c>
      <c r="G14" s="5">
        <f t="shared" si="0"/>
        <v>0.16666666666666666</v>
      </c>
      <c r="H14" s="6">
        <f t="shared" si="1"/>
        <v>1.7</v>
      </c>
    </row>
    <row r="15" spans="1:9" ht="30" customHeight="1">
      <c r="B15" s="2">
        <v>6</v>
      </c>
      <c r="C15" s="3" t="s">
        <v>15</v>
      </c>
      <c r="D15" s="2">
        <v>10</v>
      </c>
      <c r="E15" s="7">
        <v>1</v>
      </c>
      <c r="F15" s="5">
        <f>IF(ISERROR('6_Env_Health_Monitoring'!C28/'5_Informal_Sector_Hotspots'!C28),0,'6_Env_Health_Monitoring'!C28/'5_Informal_Sector_Hotspots'!C28)</f>
        <v>1</v>
      </c>
      <c r="G15" s="5">
        <f t="shared" si="0"/>
        <v>1</v>
      </c>
      <c r="H15" s="6">
        <f t="shared" si="1"/>
        <v>10</v>
      </c>
    </row>
    <row r="16" spans="1:9" ht="30" customHeight="1">
      <c r="B16" s="2">
        <v>7</v>
      </c>
      <c r="C16" s="3" t="s">
        <v>16</v>
      </c>
      <c r="D16" s="2">
        <v>10</v>
      </c>
      <c r="E16" s="4">
        <v>20</v>
      </c>
      <c r="F16" s="2">
        <f>'7_Awareness_Programs'!C28</f>
        <v>6</v>
      </c>
      <c r="G16" s="5">
        <f t="shared" si="0"/>
        <v>0.3</v>
      </c>
      <c r="H16" s="6">
        <f t="shared" si="1"/>
        <v>3</v>
      </c>
    </row>
    <row r="17" spans="2:8" ht="15" customHeight="1">
      <c r="B17" s="8"/>
      <c r="C17" s="9" t="s">
        <v>17</v>
      </c>
      <c r="D17" s="9">
        <f>SUM(D10:D16)</f>
        <v>100</v>
      </c>
      <c r="E17" s="8"/>
      <c r="F17" s="8"/>
      <c r="G17" s="8"/>
      <c r="H17" s="9">
        <f>SUM(H10:H16)</f>
        <v>65.900000000000006</v>
      </c>
    </row>
    <row r="18" spans="2:8"/>
    <row r="19" spans="2:8" ht="15" customHeight="1">
      <c r="B19" s="10" t="s">
        <v>18</v>
      </c>
    </row>
    <row r="20" spans="2:8" ht="15" customHeight="1">
      <c r="B20" s="11" t="s">
        <v>19</v>
      </c>
      <c r="C20" s="11" t="s">
        <v>20</v>
      </c>
    </row>
    <row r="21" spans="2:8" ht="15" customHeight="1">
      <c r="B21" s="11" t="s">
        <v>21</v>
      </c>
      <c r="C21" s="11" t="s">
        <v>22</v>
      </c>
    </row>
    <row r="22" spans="2:8" ht="15" customHeight="1">
      <c r="B22" s="11" t="s">
        <v>23</v>
      </c>
      <c r="C22" s="11" t="s">
        <v>24</v>
      </c>
    </row>
    <row r="23" spans="2:8" ht="15" customHeight="1">
      <c r="B23" s="11" t="s">
        <v>25</v>
      </c>
      <c r="C23" s="11" t="s">
        <v>26</v>
      </c>
    </row>
  </sheetData>
  <mergeCells count="5">
    <mergeCell ref="D5:E7"/>
    <mergeCell ref="A2:H2"/>
    <mergeCell ref="B5:C7"/>
    <mergeCell ref="B3:I3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workbookViewId="0"/>
  </sheetViews>
  <sheetFormatPr defaultRowHeight="14.45" zeroHeight="1"/>
  <cols>
    <col min="1" max="1" width="3" style="19" customWidth="1"/>
    <col min="2" max="2" width="6" style="19" customWidth="1"/>
    <col min="3" max="3" width="26" style="19" customWidth="1"/>
    <col min="4" max="4" width="9" style="19" customWidth="1"/>
    <col min="5" max="8" width="16" style="19" customWidth="1"/>
  </cols>
  <sheetData>
    <row r="1" spans="1:8"/>
    <row r="2" spans="1:8" ht="25.5" customHeight="1">
      <c r="A2" s="22" t="s">
        <v>27</v>
      </c>
      <c r="B2" s="21"/>
      <c r="C2" s="21"/>
      <c r="D2" s="21"/>
      <c r="E2" s="21"/>
      <c r="F2" s="21"/>
      <c r="G2" s="21"/>
    </row>
    <row r="3" spans="1:8"/>
    <row r="4" spans="1:8" ht="30" customHeight="1">
      <c r="B4" s="30" t="s">
        <v>28</v>
      </c>
      <c r="C4" s="21"/>
      <c r="D4" s="21"/>
      <c r="E4" s="21"/>
      <c r="F4" s="21"/>
      <c r="G4" s="21"/>
      <c r="H4" s="21"/>
    </row>
    <row r="5" spans="1:8"/>
    <row r="6" spans="1:8" ht="23.85" customHeight="1">
      <c r="B6" s="1" t="s">
        <v>3</v>
      </c>
      <c r="C6" s="1" t="s">
        <v>4</v>
      </c>
      <c r="D6" s="1" t="s">
        <v>5</v>
      </c>
      <c r="E6" s="1" t="s">
        <v>29</v>
      </c>
    </row>
    <row r="7" spans="1:8" ht="30" customHeight="1">
      <c r="B7" s="2">
        <v>1</v>
      </c>
      <c r="C7" s="12" t="s">
        <v>10</v>
      </c>
      <c r="D7" s="2">
        <v>15</v>
      </c>
      <c r="E7" s="27" t="s">
        <v>30</v>
      </c>
      <c r="F7" s="28"/>
      <c r="G7" s="28"/>
      <c r="H7" s="29"/>
    </row>
    <row r="8" spans="1:8" ht="30" customHeight="1">
      <c r="B8" s="2">
        <v>2</v>
      </c>
      <c r="C8" s="12" t="s">
        <v>11</v>
      </c>
      <c r="D8" s="2">
        <v>20</v>
      </c>
      <c r="E8" s="27" t="s">
        <v>31</v>
      </c>
      <c r="F8" s="28"/>
      <c r="G8" s="28"/>
      <c r="H8" s="29"/>
    </row>
    <row r="9" spans="1:8" ht="30" customHeight="1">
      <c r="B9" s="2">
        <v>3</v>
      </c>
      <c r="C9" s="12" t="s">
        <v>12</v>
      </c>
      <c r="D9" s="2">
        <v>20</v>
      </c>
      <c r="E9" s="27" t="s">
        <v>32</v>
      </c>
      <c r="F9" s="28"/>
      <c r="G9" s="28"/>
      <c r="H9" s="29"/>
    </row>
    <row r="10" spans="1:8" ht="30" customHeight="1">
      <c r="B10" s="2">
        <v>4</v>
      </c>
      <c r="C10" s="12" t="s">
        <v>13</v>
      </c>
      <c r="D10" s="2">
        <v>15</v>
      </c>
      <c r="E10" s="27" t="s">
        <v>33</v>
      </c>
      <c r="F10" s="28"/>
      <c r="G10" s="28"/>
      <c r="H10" s="29"/>
    </row>
    <row r="11" spans="1:8" ht="30" customHeight="1">
      <c r="B11" s="2">
        <v>5</v>
      </c>
      <c r="C11" s="12" t="s">
        <v>14</v>
      </c>
      <c r="D11" s="2">
        <v>10</v>
      </c>
      <c r="E11" s="27" t="s">
        <v>34</v>
      </c>
      <c r="F11" s="28"/>
      <c r="G11" s="28"/>
      <c r="H11" s="29"/>
    </row>
    <row r="12" spans="1:8" ht="30" customHeight="1">
      <c r="B12" s="2">
        <v>6</v>
      </c>
      <c r="C12" s="12" t="s">
        <v>15</v>
      </c>
      <c r="D12" s="2">
        <v>10</v>
      </c>
      <c r="E12" s="27" t="s">
        <v>35</v>
      </c>
      <c r="F12" s="28"/>
      <c r="G12" s="28"/>
      <c r="H12" s="29"/>
    </row>
    <row r="13" spans="1:8" ht="30" customHeight="1">
      <c r="B13" s="2">
        <v>7</v>
      </c>
      <c r="C13" s="12" t="s">
        <v>16</v>
      </c>
      <c r="D13" s="2">
        <v>10</v>
      </c>
      <c r="E13" s="27" t="s">
        <v>36</v>
      </c>
      <c r="F13" s="28"/>
      <c r="G13" s="28"/>
      <c r="H13" s="29"/>
    </row>
    <row r="14" spans="1:8" ht="15" customHeight="1">
      <c r="B14" s="8"/>
      <c r="C14" s="9" t="s">
        <v>37</v>
      </c>
      <c r="D14" s="9">
        <v>100</v>
      </c>
      <c r="E14" s="8"/>
      <c r="F14" s="8"/>
      <c r="G14" s="8"/>
      <c r="H14" s="8"/>
    </row>
    <row r="15" spans="1:8"/>
    <row r="16" spans="1:8" ht="15" customHeight="1">
      <c r="B16" s="10" t="s">
        <v>38</v>
      </c>
    </row>
    <row r="17" spans="2:8" ht="25.5" customHeight="1">
      <c r="B17" s="26" t="s">
        <v>39</v>
      </c>
      <c r="C17" s="21"/>
      <c r="D17" s="21"/>
      <c r="E17" s="21"/>
      <c r="F17" s="21"/>
      <c r="G17" s="21"/>
      <c r="H17" s="21"/>
    </row>
    <row r="18" spans="2:8" ht="25.5" customHeight="1">
      <c r="B18" s="26" t="s">
        <v>40</v>
      </c>
      <c r="C18" s="21"/>
      <c r="D18" s="21"/>
      <c r="E18" s="21"/>
      <c r="F18" s="21"/>
      <c r="G18" s="21"/>
      <c r="H18" s="21"/>
    </row>
    <row r="19" spans="2:8" ht="25.5" customHeight="1">
      <c r="B19" s="26" t="s">
        <v>41</v>
      </c>
      <c r="C19" s="21"/>
      <c r="D19" s="21"/>
      <c r="E19" s="21"/>
      <c r="F19" s="21"/>
      <c r="G19" s="21"/>
      <c r="H19" s="21"/>
    </row>
    <row r="20" spans="2:8" ht="25.5" customHeight="1">
      <c r="B20" s="26" t="s">
        <v>42</v>
      </c>
      <c r="C20" s="21"/>
      <c r="D20" s="21"/>
      <c r="E20" s="21"/>
      <c r="F20" s="21"/>
      <c r="G20" s="21"/>
      <c r="H20" s="21"/>
    </row>
    <row r="21" spans="2:8" ht="25.5" customHeight="1">
      <c r="B21" s="26" t="s">
        <v>43</v>
      </c>
      <c r="C21" s="21"/>
      <c r="D21" s="21"/>
      <c r="E21" s="21"/>
      <c r="F21" s="21"/>
      <c r="G21" s="21"/>
      <c r="H21" s="21"/>
    </row>
  </sheetData>
  <mergeCells count="14">
    <mergeCell ref="B21:H21"/>
    <mergeCell ref="B20:H20"/>
    <mergeCell ref="A2:G2"/>
    <mergeCell ref="E7:H7"/>
    <mergeCell ref="E11:H11"/>
    <mergeCell ref="B19:H19"/>
    <mergeCell ref="E10:H10"/>
    <mergeCell ref="E13:H13"/>
    <mergeCell ref="E9:H9"/>
    <mergeCell ref="B17:H17"/>
    <mergeCell ref="B18:H18"/>
    <mergeCell ref="E8:H8"/>
    <mergeCell ref="B4:H4"/>
    <mergeCell ref="E12:H12"/>
  </mergeCells>
  <pageMargins left="0.75" right="0.75" top="1" bottom="1" header="0.511811023622047" footer="0.511811023622047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showGridLines="0" workbookViewId="0">
      <pane xSplit="2" ySplit="6" topLeftCell="C7" activePane="bottomRight" state="frozen"/>
      <selection pane="bottomRight" activeCell="C11" sqref="C11"/>
      <selection pane="bottomLeft"/>
      <selection pane="topRight"/>
    </sheetView>
  </sheetViews>
  <sheetFormatPr defaultRowHeight="14.45" zeroHeight="1"/>
  <cols>
    <col min="1" max="1" width="3" style="19" customWidth="1"/>
    <col min="2" max="2" width="16" style="19" customWidth="1"/>
    <col min="3" max="3" width="12" style="19" customWidth="1"/>
    <col min="4" max="4" width="16" style="19" customWidth="1"/>
    <col min="5" max="5" width="20" style="19" customWidth="1"/>
    <col min="6" max="6" width="18" style="19" customWidth="1"/>
    <col min="7" max="7" width="16" style="19" customWidth="1"/>
    <col min="8" max="8" width="14" style="19" customWidth="1"/>
    <col min="9" max="9" width="12" style="19" customWidth="1"/>
    <col min="10" max="10" width="15" style="19" customWidth="1"/>
    <col min="11" max="11" width="16" style="19" customWidth="1"/>
  </cols>
  <sheetData>
    <row r="1" spans="1:11"/>
    <row r="2" spans="1:11" ht="25.5" customHeight="1">
      <c r="A2" s="22" t="s">
        <v>44</v>
      </c>
      <c r="B2" s="21"/>
      <c r="C2" s="21"/>
      <c r="D2" s="21"/>
      <c r="E2" s="21"/>
      <c r="F2" s="21"/>
      <c r="G2" s="21"/>
      <c r="H2" s="21"/>
      <c r="I2" s="21"/>
      <c r="J2" s="21"/>
    </row>
    <row r="3" spans="1:11" ht="15" customHeight="1">
      <c r="B3" s="20" t="s">
        <v>45</v>
      </c>
      <c r="C3" s="21"/>
      <c r="D3" s="21"/>
      <c r="E3" s="21"/>
      <c r="F3" s="21"/>
      <c r="G3" s="21"/>
      <c r="H3" s="21"/>
      <c r="I3" s="21"/>
      <c r="J3" s="21"/>
      <c r="K3" s="21"/>
    </row>
    <row r="4" spans="1:11"/>
    <row r="5" spans="1:11" ht="31.5" customHeight="1"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</row>
    <row r="6" spans="1:11" ht="15" customHeight="1">
      <c r="B6" s="13" t="s">
        <v>56</v>
      </c>
      <c r="C6" s="13">
        <v>1800000</v>
      </c>
      <c r="D6" s="13">
        <v>666000</v>
      </c>
      <c r="E6" s="13">
        <v>504000</v>
      </c>
      <c r="F6" s="13">
        <v>414000</v>
      </c>
      <c r="G6" s="13">
        <v>162000</v>
      </c>
      <c r="H6" s="13">
        <v>198000</v>
      </c>
      <c r="I6" s="13">
        <v>126000</v>
      </c>
      <c r="J6" s="13">
        <f t="shared" ref="J6:J31" si="0">IF(SUM(D6:I6)=0,"",SUM(D6:I6))</f>
        <v>2070000</v>
      </c>
      <c r="K6" s="13" t="s">
        <v>57</v>
      </c>
    </row>
    <row r="7" spans="1:11" ht="15" customHeight="1">
      <c r="B7" s="14" t="s">
        <v>58</v>
      </c>
      <c r="C7" s="14">
        <v>2300000</v>
      </c>
      <c r="D7" s="14">
        <v>851000</v>
      </c>
      <c r="E7" s="14">
        <v>644000</v>
      </c>
      <c r="F7" s="14">
        <v>529000</v>
      </c>
      <c r="G7" s="14">
        <v>207000</v>
      </c>
      <c r="H7" s="14">
        <v>253000</v>
      </c>
      <c r="I7" s="14">
        <v>161000</v>
      </c>
      <c r="J7" s="15">
        <f t="shared" si="0"/>
        <v>2645000</v>
      </c>
      <c r="K7" s="14" t="s">
        <v>57</v>
      </c>
    </row>
    <row r="8" spans="1:11" ht="15" customHeight="1">
      <c r="B8" s="14" t="s">
        <v>59</v>
      </c>
      <c r="C8" s="14">
        <v>1700000</v>
      </c>
      <c r="D8" s="14">
        <v>629000</v>
      </c>
      <c r="E8" s="14">
        <v>476000</v>
      </c>
      <c r="F8" s="14">
        <v>391000</v>
      </c>
      <c r="G8" s="14">
        <v>153000</v>
      </c>
      <c r="H8" s="14">
        <v>187000</v>
      </c>
      <c r="I8" s="14">
        <v>119000</v>
      </c>
      <c r="J8" s="15">
        <f t="shared" si="0"/>
        <v>1955000</v>
      </c>
      <c r="K8" s="14" t="s">
        <v>57</v>
      </c>
    </row>
    <row r="9" spans="1:11" ht="15" customHeight="1">
      <c r="B9" s="14" t="s">
        <v>60</v>
      </c>
      <c r="C9" s="14">
        <v>1600000</v>
      </c>
      <c r="D9" s="14">
        <v>592000</v>
      </c>
      <c r="E9" s="14">
        <v>448000</v>
      </c>
      <c r="F9" s="14">
        <v>368000</v>
      </c>
      <c r="G9" s="14">
        <v>144000</v>
      </c>
      <c r="H9" s="14">
        <v>176000</v>
      </c>
      <c r="I9" s="14">
        <v>112000</v>
      </c>
      <c r="J9" s="15">
        <f t="shared" si="0"/>
        <v>1840000</v>
      </c>
      <c r="K9" s="14" t="s">
        <v>57</v>
      </c>
    </row>
    <row r="10" spans="1:11">
      <c r="B10" s="14" t="s">
        <v>61</v>
      </c>
      <c r="C10" s="14">
        <v>1900000</v>
      </c>
      <c r="D10" s="14">
        <v>703000</v>
      </c>
      <c r="E10" s="14">
        <v>532000</v>
      </c>
      <c r="F10" s="14">
        <v>437000</v>
      </c>
      <c r="G10" s="14">
        <v>171000</v>
      </c>
      <c r="H10" s="14">
        <v>209000</v>
      </c>
      <c r="I10" s="14">
        <v>133000</v>
      </c>
      <c r="J10" s="15">
        <f t="shared" si="0"/>
        <v>2185000</v>
      </c>
      <c r="K10" s="14" t="s">
        <v>57</v>
      </c>
    </row>
    <row r="11" spans="1:11" ht="39.6">
      <c r="B11" s="14" t="s">
        <v>62</v>
      </c>
      <c r="C11" s="14">
        <v>1800000</v>
      </c>
      <c r="D11" s="14">
        <v>666000</v>
      </c>
      <c r="E11" s="14">
        <v>504000</v>
      </c>
      <c r="F11" s="14">
        <v>414000</v>
      </c>
      <c r="G11" s="14">
        <v>162000</v>
      </c>
      <c r="H11" s="14">
        <v>198000</v>
      </c>
      <c r="I11" s="14">
        <v>126000</v>
      </c>
      <c r="J11" s="15">
        <f t="shared" si="0"/>
        <v>2070000</v>
      </c>
      <c r="K11" s="14" t="s">
        <v>57</v>
      </c>
    </row>
    <row r="12" spans="1:11" ht="15" customHeight="1">
      <c r="B12" s="14" t="s">
        <v>63</v>
      </c>
      <c r="C12" s="14">
        <v>1900000</v>
      </c>
      <c r="D12" s="14">
        <v>703000</v>
      </c>
      <c r="E12" s="14">
        <v>532000</v>
      </c>
      <c r="F12" s="14">
        <v>437000</v>
      </c>
      <c r="G12" s="14">
        <v>171000</v>
      </c>
      <c r="H12" s="14">
        <v>209000</v>
      </c>
      <c r="I12" s="14">
        <v>133000</v>
      </c>
      <c r="J12" s="15">
        <f t="shared" si="0"/>
        <v>2185000</v>
      </c>
      <c r="K12" s="14" t="s">
        <v>57</v>
      </c>
    </row>
    <row r="13" spans="1:11" ht="15" customHeight="1">
      <c r="B13" s="14" t="s">
        <v>64</v>
      </c>
      <c r="C13" s="14">
        <v>2100000</v>
      </c>
      <c r="D13" s="14">
        <v>777000</v>
      </c>
      <c r="E13" s="14">
        <v>588000</v>
      </c>
      <c r="F13" s="14">
        <v>483000</v>
      </c>
      <c r="G13" s="14">
        <v>189000</v>
      </c>
      <c r="H13" s="14">
        <v>231000</v>
      </c>
      <c r="I13" s="14">
        <v>147000</v>
      </c>
      <c r="J13" s="15">
        <f t="shared" si="0"/>
        <v>2415000</v>
      </c>
      <c r="K13" s="14" t="s">
        <v>57</v>
      </c>
    </row>
    <row r="14" spans="1:11" ht="15" customHeight="1">
      <c r="B14" s="14" t="s">
        <v>65</v>
      </c>
      <c r="C14" s="14">
        <v>2500000</v>
      </c>
      <c r="D14" s="14">
        <v>925000</v>
      </c>
      <c r="E14" s="14">
        <v>700000</v>
      </c>
      <c r="F14" s="14">
        <v>575000</v>
      </c>
      <c r="G14" s="14">
        <v>225000</v>
      </c>
      <c r="H14" s="14">
        <v>275000</v>
      </c>
      <c r="I14" s="14">
        <v>175000</v>
      </c>
      <c r="J14" s="15">
        <f t="shared" si="0"/>
        <v>2875000</v>
      </c>
      <c r="K14" s="14" t="s">
        <v>57</v>
      </c>
    </row>
    <row r="15" spans="1:11" ht="15" customHeight="1">
      <c r="B15" s="14" t="s">
        <v>66</v>
      </c>
      <c r="C15" s="14">
        <v>2200000</v>
      </c>
      <c r="D15" s="14">
        <v>814000</v>
      </c>
      <c r="E15" s="14">
        <v>616000</v>
      </c>
      <c r="F15" s="14">
        <v>506000</v>
      </c>
      <c r="G15" s="14">
        <v>198000</v>
      </c>
      <c r="H15" s="14">
        <v>242000</v>
      </c>
      <c r="I15" s="14">
        <v>154000</v>
      </c>
      <c r="J15" s="15">
        <f t="shared" si="0"/>
        <v>2530000</v>
      </c>
      <c r="K15" s="14" t="s">
        <v>57</v>
      </c>
    </row>
    <row r="16" spans="1:11" ht="15" customHeight="1">
      <c r="B16" s="14" t="s">
        <v>67</v>
      </c>
      <c r="C16" s="14">
        <v>2200000</v>
      </c>
      <c r="D16" s="14">
        <v>814000</v>
      </c>
      <c r="E16" s="14">
        <v>616000</v>
      </c>
      <c r="F16" s="14">
        <v>506000</v>
      </c>
      <c r="G16" s="14">
        <v>198000</v>
      </c>
      <c r="H16" s="14">
        <v>242000</v>
      </c>
      <c r="I16" s="14">
        <v>154000</v>
      </c>
      <c r="J16" s="15">
        <f t="shared" si="0"/>
        <v>2530000</v>
      </c>
      <c r="K16" s="14" t="s">
        <v>57</v>
      </c>
    </row>
    <row r="17" spans="2:11" ht="15" customHeight="1">
      <c r="B17" s="14" t="s">
        <v>68</v>
      </c>
      <c r="C17" s="14">
        <v>1900000</v>
      </c>
      <c r="D17" s="14">
        <v>703000</v>
      </c>
      <c r="E17" s="14">
        <v>532000</v>
      </c>
      <c r="F17" s="14">
        <v>437000</v>
      </c>
      <c r="G17" s="14">
        <v>171000</v>
      </c>
      <c r="H17" s="14">
        <v>209000</v>
      </c>
      <c r="I17" s="14">
        <v>133000</v>
      </c>
      <c r="J17" s="15">
        <f t="shared" si="0"/>
        <v>2185000</v>
      </c>
      <c r="K17" s="14" t="s">
        <v>57</v>
      </c>
    </row>
    <row r="18" spans="2:11" ht="15" customHeight="1">
      <c r="B18" s="14" t="s">
        <v>69</v>
      </c>
      <c r="C18" s="14">
        <v>1700000</v>
      </c>
      <c r="D18" s="14">
        <v>629000</v>
      </c>
      <c r="E18" s="14">
        <v>476000</v>
      </c>
      <c r="F18" s="14">
        <v>391000</v>
      </c>
      <c r="G18" s="14">
        <v>153000</v>
      </c>
      <c r="H18" s="14">
        <v>187000</v>
      </c>
      <c r="I18" s="14">
        <v>119000</v>
      </c>
      <c r="J18" s="15">
        <f t="shared" si="0"/>
        <v>1955000</v>
      </c>
      <c r="K18" s="14" t="s">
        <v>57</v>
      </c>
    </row>
    <row r="19" spans="2:11" ht="15" customHeight="1">
      <c r="B19" s="14" t="s">
        <v>70</v>
      </c>
      <c r="C19" s="14">
        <v>1800000</v>
      </c>
      <c r="D19" s="14">
        <v>666000</v>
      </c>
      <c r="E19" s="14">
        <v>504000</v>
      </c>
      <c r="F19" s="14">
        <v>414000</v>
      </c>
      <c r="G19" s="14">
        <v>162000</v>
      </c>
      <c r="H19" s="14">
        <v>198000</v>
      </c>
      <c r="I19" s="14">
        <v>126000</v>
      </c>
      <c r="J19" s="15">
        <f t="shared" si="0"/>
        <v>2070000</v>
      </c>
      <c r="K19" s="14" t="s">
        <v>57</v>
      </c>
    </row>
    <row r="20" spans="2:11" ht="15" customHeight="1">
      <c r="B20" s="14" t="s">
        <v>71</v>
      </c>
      <c r="C20" s="14">
        <v>2100000</v>
      </c>
      <c r="D20" s="14">
        <v>777000</v>
      </c>
      <c r="E20" s="14">
        <v>588000</v>
      </c>
      <c r="F20" s="14">
        <v>483000</v>
      </c>
      <c r="G20" s="14">
        <v>189000</v>
      </c>
      <c r="H20" s="14">
        <v>231000</v>
      </c>
      <c r="I20" s="14">
        <v>147000</v>
      </c>
      <c r="J20" s="15">
        <f t="shared" si="0"/>
        <v>2415000</v>
      </c>
      <c r="K20" s="14" t="s">
        <v>57</v>
      </c>
    </row>
    <row r="21" spans="2:11" ht="26.45">
      <c r="B21" s="14" t="s">
        <v>72</v>
      </c>
      <c r="C21" s="14">
        <v>900000</v>
      </c>
      <c r="D21" s="14">
        <v>333000</v>
      </c>
      <c r="E21" s="14">
        <v>252000</v>
      </c>
      <c r="F21" s="14">
        <v>207000</v>
      </c>
      <c r="G21" s="14">
        <v>81000</v>
      </c>
      <c r="H21" s="14">
        <v>99000</v>
      </c>
      <c r="I21" s="14">
        <v>63000</v>
      </c>
      <c r="J21" s="15">
        <f t="shared" si="0"/>
        <v>1035000</v>
      </c>
      <c r="K21" s="14" t="s">
        <v>57</v>
      </c>
    </row>
    <row r="22" spans="2:11" ht="15" customHeight="1">
      <c r="B22" s="14" t="s">
        <v>73</v>
      </c>
      <c r="C22" s="14">
        <v>2300000</v>
      </c>
      <c r="D22" s="14">
        <v>851000</v>
      </c>
      <c r="E22" s="14">
        <v>644000</v>
      </c>
      <c r="F22" s="14">
        <v>529000</v>
      </c>
      <c r="G22" s="14">
        <v>207000</v>
      </c>
      <c r="H22" s="14">
        <v>253000</v>
      </c>
      <c r="I22" s="14">
        <v>161000</v>
      </c>
      <c r="J22" s="15">
        <f t="shared" si="0"/>
        <v>2645000</v>
      </c>
      <c r="K22" s="14" t="s">
        <v>57</v>
      </c>
    </row>
    <row r="23" spans="2:11" ht="26.45">
      <c r="B23" s="14" t="s">
        <v>74</v>
      </c>
      <c r="C23" s="14">
        <v>2400000</v>
      </c>
      <c r="D23" s="14">
        <v>888000</v>
      </c>
      <c r="E23" s="14">
        <v>672000</v>
      </c>
      <c r="F23" s="14">
        <v>552000</v>
      </c>
      <c r="G23" s="14">
        <v>216000</v>
      </c>
      <c r="H23" s="14">
        <v>264000</v>
      </c>
      <c r="I23" s="14">
        <v>168000</v>
      </c>
      <c r="J23" s="15">
        <f t="shared" si="0"/>
        <v>2760000</v>
      </c>
      <c r="K23" s="14" t="s">
        <v>57</v>
      </c>
    </row>
    <row r="24" spans="2:11" ht="15" customHeight="1">
      <c r="B24" s="14" t="s">
        <v>75</v>
      </c>
      <c r="C24" s="14">
        <v>2100000</v>
      </c>
      <c r="D24" s="14">
        <v>777000</v>
      </c>
      <c r="E24" s="14">
        <v>588000</v>
      </c>
      <c r="F24" s="14">
        <v>483000</v>
      </c>
      <c r="G24" s="14">
        <v>189000</v>
      </c>
      <c r="H24" s="14">
        <v>231000</v>
      </c>
      <c r="I24" s="14">
        <v>147000</v>
      </c>
      <c r="J24" s="15">
        <f t="shared" si="0"/>
        <v>2415000</v>
      </c>
      <c r="K24" s="14" t="s">
        <v>57</v>
      </c>
    </row>
    <row r="25" spans="2:11" ht="15" customHeight="1">
      <c r="B25" s="14" t="s">
        <v>76</v>
      </c>
      <c r="C25" s="14">
        <v>2400000</v>
      </c>
      <c r="D25" s="14">
        <v>888000</v>
      </c>
      <c r="E25" s="14">
        <v>672000</v>
      </c>
      <c r="F25" s="14">
        <v>552000</v>
      </c>
      <c r="G25" s="14">
        <v>216000</v>
      </c>
      <c r="H25" s="14">
        <v>264000</v>
      </c>
      <c r="I25" s="14">
        <v>168000</v>
      </c>
      <c r="J25" s="15">
        <f t="shared" si="0"/>
        <v>2760000</v>
      </c>
      <c r="K25" s="14" t="s">
        <v>57</v>
      </c>
    </row>
    <row r="26" spans="2:11">
      <c r="B26" s="14" t="s">
        <v>77</v>
      </c>
      <c r="C26" s="14">
        <v>2300000</v>
      </c>
      <c r="D26" s="14">
        <v>851000</v>
      </c>
      <c r="E26" s="14">
        <v>644000</v>
      </c>
      <c r="F26" s="14">
        <v>529000</v>
      </c>
      <c r="G26" s="14">
        <v>207000</v>
      </c>
      <c r="H26" s="14">
        <v>253000</v>
      </c>
      <c r="I26" s="14">
        <v>161000</v>
      </c>
      <c r="J26" s="15">
        <f t="shared" si="0"/>
        <v>2645000</v>
      </c>
      <c r="K26" s="14" t="s">
        <v>57</v>
      </c>
    </row>
    <row r="27" spans="2:11" ht="15" customHeight="1">
      <c r="B27" s="14" t="s">
        <v>78</v>
      </c>
      <c r="C27" s="14">
        <v>2500000</v>
      </c>
      <c r="D27" s="14">
        <v>925000</v>
      </c>
      <c r="E27" s="14">
        <v>700000</v>
      </c>
      <c r="F27" s="14">
        <v>575000</v>
      </c>
      <c r="G27" s="14">
        <v>225000</v>
      </c>
      <c r="H27" s="14">
        <v>275000</v>
      </c>
      <c r="I27" s="14">
        <v>175000</v>
      </c>
      <c r="J27" s="15">
        <f t="shared" si="0"/>
        <v>2875000</v>
      </c>
      <c r="K27" s="14" t="s">
        <v>57</v>
      </c>
    </row>
    <row r="28" spans="2:11">
      <c r="B28" s="14" t="s">
        <v>79</v>
      </c>
      <c r="C28" s="14">
        <v>2400000</v>
      </c>
      <c r="D28" s="14">
        <v>888000</v>
      </c>
      <c r="E28" s="14">
        <v>672000</v>
      </c>
      <c r="F28" s="14">
        <v>552000</v>
      </c>
      <c r="G28" s="14">
        <v>216000</v>
      </c>
      <c r="H28" s="14">
        <v>264000</v>
      </c>
      <c r="I28" s="14">
        <v>168000</v>
      </c>
      <c r="J28" s="15">
        <f t="shared" si="0"/>
        <v>2760000</v>
      </c>
      <c r="K28" s="14" t="s">
        <v>57</v>
      </c>
    </row>
    <row r="29" spans="2:11">
      <c r="B29" s="14" t="s">
        <v>80</v>
      </c>
      <c r="C29" s="14">
        <v>1800000</v>
      </c>
      <c r="D29" s="14">
        <v>666000</v>
      </c>
      <c r="E29" s="14">
        <v>504000</v>
      </c>
      <c r="F29" s="14">
        <v>414000</v>
      </c>
      <c r="G29" s="14">
        <v>162000</v>
      </c>
      <c r="H29" s="14">
        <v>198000</v>
      </c>
      <c r="I29" s="14">
        <v>126000</v>
      </c>
      <c r="J29" s="15">
        <f t="shared" si="0"/>
        <v>2070000</v>
      </c>
      <c r="K29" s="14" t="s">
        <v>57</v>
      </c>
    </row>
    <row r="30" spans="2:11">
      <c r="B30" s="14" t="s">
        <v>81</v>
      </c>
      <c r="C30" s="14">
        <v>2200000</v>
      </c>
      <c r="D30" s="14">
        <v>814000</v>
      </c>
      <c r="E30" s="14">
        <v>616000</v>
      </c>
      <c r="F30" s="14">
        <v>506000</v>
      </c>
      <c r="G30" s="14">
        <v>198000</v>
      </c>
      <c r="H30" s="14">
        <v>242000</v>
      </c>
      <c r="I30" s="14">
        <v>154000</v>
      </c>
      <c r="J30" s="15">
        <f t="shared" si="0"/>
        <v>2530000</v>
      </c>
      <c r="K30" s="14" t="s">
        <v>57</v>
      </c>
    </row>
    <row r="31" spans="2:11" ht="26.45">
      <c r="B31" s="14" t="s">
        <v>82</v>
      </c>
      <c r="C31" s="14">
        <v>1000000</v>
      </c>
      <c r="D31" s="14">
        <v>370000</v>
      </c>
      <c r="E31" s="14">
        <v>280000</v>
      </c>
      <c r="F31" s="14">
        <v>230000</v>
      </c>
      <c r="G31" s="14">
        <v>90000</v>
      </c>
      <c r="H31" s="14">
        <v>110000</v>
      </c>
      <c r="I31" s="14">
        <v>70000</v>
      </c>
      <c r="J31" s="15">
        <f t="shared" si="0"/>
        <v>1150000</v>
      </c>
      <c r="K31" s="14" t="s">
        <v>57</v>
      </c>
    </row>
    <row r="32" spans="2:11"/>
    <row r="33" spans="2:10">
      <c r="B33" s="9" t="s">
        <v>83</v>
      </c>
      <c r="C33" s="9">
        <f t="shared" ref="C33:J33" si="1">SUM(C6:C25)</f>
        <v>39600000</v>
      </c>
      <c r="D33" s="9">
        <f t="shared" si="1"/>
        <v>14652000</v>
      </c>
      <c r="E33" s="9">
        <f t="shared" si="1"/>
        <v>11088000</v>
      </c>
      <c r="F33" s="9">
        <f t="shared" si="1"/>
        <v>9108000</v>
      </c>
      <c r="G33" s="9">
        <f t="shared" si="1"/>
        <v>3564000</v>
      </c>
      <c r="H33" s="9">
        <f t="shared" si="1"/>
        <v>4356000</v>
      </c>
      <c r="I33" s="9">
        <f t="shared" si="1"/>
        <v>2772000</v>
      </c>
      <c r="J33" s="9">
        <f t="shared" si="1"/>
        <v>45540000</v>
      </c>
    </row>
  </sheetData>
  <mergeCells count="2">
    <mergeCell ref="B3:K3"/>
    <mergeCell ref="A2:J2"/>
  </mergeCells>
  <pageMargins left="0.75" right="0.75" top="1" bottom="1" header="0.511811023622047" footer="0.511811023622047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showGridLines="0" workbookViewId="0">
      <pane xSplit="2" ySplit="6" topLeftCell="C26" activePane="bottomRight" state="frozen"/>
      <selection pane="bottomRight" activeCell="K10" sqref="K10"/>
      <selection pane="bottomLeft"/>
      <selection pane="topRight"/>
    </sheetView>
  </sheetViews>
  <sheetFormatPr defaultRowHeight="14.45" zeroHeight="1"/>
  <cols>
    <col min="1" max="1" width="3" style="19" customWidth="1"/>
    <col min="2" max="2" width="16" style="19" customWidth="1"/>
    <col min="3" max="3" width="20" style="19" customWidth="1"/>
    <col min="4" max="4" width="13" style="19" customWidth="1"/>
    <col min="5" max="5" width="18" style="19" customWidth="1"/>
    <col min="6" max="6" width="16" style="19" customWidth="1"/>
    <col min="7" max="7" width="18" style="19" customWidth="1"/>
    <col min="8" max="8" width="30" style="19" customWidth="1"/>
  </cols>
  <sheetData>
    <row r="1" spans="1:8"/>
    <row r="2" spans="1:8" ht="25.5" customHeight="1">
      <c r="A2" s="22" t="s">
        <v>84</v>
      </c>
      <c r="B2" s="21"/>
      <c r="C2" s="21"/>
      <c r="D2" s="21"/>
      <c r="E2" s="21"/>
      <c r="F2" s="21"/>
      <c r="G2" s="21"/>
    </row>
    <row r="3" spans="1:8" ht="15" customHeight="1">
      <c r="B3" s="20" t="s">
        <v>85</v>
      </c>
      <c r="C3" s="21"/>
      <c r="D3" s="21"/>
      <c r="E3" s="21"/>
      <c r="F3" s="21"/>
      <c r="G3" s="21"/>
      <c r="H3" s="21"/>
    </row>
    <row r="4" spans="1:8"/>
    <row r="5" spans="1:8" ht="31.5" customHeight="1">
      <c r="B5" s="1" t="s">
        <v>46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</row>
    <row r="6" spans="1:8" ht="23.85" customHeight="1">
      <c r="B6" s="13" t="s">
        <v>56</v>
      </c>
      <c r="C6" s="13">
        <v>1404000</v>
      </c>
      <c r="D6" s="13">
        <v>12</v>
      </c>
      <c r="E6" s="13">
        <v>1980000</v>
      </c>
      <c r="F6" s="13">
        <v>1350000</v>
      </c>
      <c r="G6" s="13" t="s">
        <v>92</v>
      </c>
      <c r="H6" s="13" t="s">
        <v>93</v>
      </c>
    </row>
    <row r="7" spans="1:8" ht="15" customHeight="1">
      <c r="B7" s="14" t="s">
        <v>58</v>
      </c>
      <c r="C7" s="15">
        <v>1794000</v>
      </c>
      <c r="D7" s="14">
        <v>15</v>
      </c>
      <c r="E7" s="14">
        <v>2530000</v>
      </c>
      <c r="F7" s="14">
        <v>1725000</v>
      </c>
      <c r="G7" s="14" t="s">
        <v>92</v>
      </c>
      <c r="H7" s="14" t="s">
        <v>93</v>
      </c>
    </row>
    <row r="8" spans="1:8" ht="15" customHeight="1">
      <c r="B8" s="14" t="s">
        <v>59</v>
      </c>
      <c r="C8" s="15">
        <v>1326000</v>
      </c>
      <c r="D8" s="14">
        <v>11</v>
      </c>
      <c r="E8" s="14">
        <v>1870000</v>
      </c>
      <c r="F8" s="14">
        <v>1275000</v>
      </c>
      <c r="G8" s="14" t="s">
        <v>92</v>
      </c>
      <c r="H8" s="14" t="s">
        <v>93</v>
      </c>
    </row>
    <row r="9" spans="1:8" ht="15" customHeight="1">
      <c r="B9" s="14" t="s">
        <v>60</v>
      </c>
      <c r="C9" s="15">
        <v>1248000</v>
      </c>
      <c r="D9" s="14">
        <v>10</v>
      </c>
      <c r="E9" s="14">
        <v>1760000</v>
      </c>
      <c r="F9" s="14">
        <v>1200000</v>
      </c>
      <c r="G9" s="14" t="s">
        <v>92</v>
      </c>
      <c r="H9" s="14" t="s">
        <v>93</v>
      </c>
    </row>
    <row r="10" spans="1:8" ht="15" customHeight="1">
      <c r="B10" s="14" t="s">
        <v>61</v>
      </c>
      <c r="C10" s="15">
        <v>1482000</v>
      </c>
      <c r="D10" s="14">
        <v>12</v>
      </c>
      <c r="E10" s="14">
        <v>2090000</v>
      </c>
      <c r="F10" s="14">
        <v>1425000</v>
      </c>
      <c r="G10" s="14" t="s">
        <v>92</v>
      </c>
      <c r="H10" s="14" t="s">
        <v>93</v>
      </c>
    </row>
    <row r="11" spans="1:8" ht="52.9">
      <c r="B11" s="14" t="s">
        <v>62</v>
      </c>
      <c r="C11" s="15">
        <v>1404000</v>
      </c>
      <c r="D11" s="14">
        <v>12</v>
      </c>
      <c r="E11" s="14">
        <v>1980000</v>
      </c>
      <c r="F11" s="14">
        <v>1350000</v>
      </c>
      <c r="G11" s="14" t="s">
        <v>92</v>
      </c>
      <c r="H11" s="14" t="s">
        <v>93</v>
      </c>
    </row>
    <row r="12" spans="1:8" ht="52.9">
      <c r="B12" s="14" t="s">
        <v>63</v>
      </c>
      <c r="C12" s="15">
        <v>1482000</v>
      </c>
      <c r="D12" s="14">
        <v>12</v>
      </c>
      <c r="E12" s="14">
        <v>2090000</v>
      </c>
      <c r="F12" s="14">
        <v>1425000</v>
      </c>
      <c r="G12" s="14" t="s">
        <v>92</v>
      </c>
      <c r="H12" s="14" t="s">
        <v>93</v>
      </c>
    </row>
    <row r="13" spans="1:8" ht="15" customHeight="1">
      <c r="B13" s="14" t="s">
        <v>64</v>
      </c>
      <c r="C13" s="15">
        <v>1638000</v>
      </c>
      <c r="D13" s="14">
        <v>14</v>
      </c>
      <c r="E13" s="14">
        <v>2310000</v>
      </c>
      <c r="F13" s="14">
        <v>1575000</v>
      </c>
      <c r="G13" s="14" t="s">
        <v>92</v>
      </c>
      <c r="H13" s="14" t="s">
        <v>93</v>
      </c>
    </row>
    <row r="14" spans="1:8" ht="15" customHeight="1">
      <c r="B14" s="14" t="s">
        <v>65</v>
      </c>
      <c r="C14" s="15">
        <v>1950000</v>
      </c>
      <c r="D14" s="14">
        <v>16</v>
      </c>
      <c r="E14" s="14">
        <v>2750000</v>
      </c>
      <c r="F14" s="14">
        <v>1875000</v>
      </c>
      <c r="G14" s="14" t="s">
        <v>92</v>
      </c>
      <c r="H14" s="14" t="s">
        <v>93</v>
      </c>
    </row>
    <row r="15" spans="1:8" ht="15" customHeight="1">
      <c r="B15" s="14" t="s">
        <v>66</v>
      </c>
      <c r="C15" s="15">
        <v>1716000</v>
      </c>
      <c r="D15" s="14">
        <v>14</v>
      </c>
      <c r="E15" s="14">
        <v>2420000</v>
      </c>
      <c r="F15" s="14">
        <v>1650000</v>
      </c>
      <c r="G15" s="14" t="s">
        <v>92</v>
      </c>
      <c r="H15" s="14" t="s">
        <v>93</v>
      </c>
    </row>
    <row r="16" spans="1:8" ht="15" customHeight="1">
      <c r="B16" s="14" t="s">
        <v>67</v>
      </c>
      <c r="C16" s="15">
        <v>1716000</v>
      </c>
      <c r="D16" s="14">
        <v>14</v>
      </c>
      <c r="E16" s="14">
        <v>2420000</v>
      </c>
      <c r="F16" s="14">
        <v>1650000</v>
      </c>
      <c r="G16" s="14" t="s">
        <v>92</v>
      </c>
      <c r="H16" s="14" t="s">
        <v>93</v>
      </c>
    </row>
    <row r="17" spans="2:8" ht="15" customHeight="1">
      <c r="B17" s="14" t="s">
        <v>68</v>
      </c>
      <c r="C17" s="15">
        <v>1482000</v>
      </c>
      <c r="D17" s="14">
        <v>12</v>
      </c>
      <c r="E17" s="14">
        <v>2090000</v>
      </c>
      <c r="F17" s="14">
        <v>1425000</v>
      </c>
      <c r="G17" s="14" t="s">
        <v>92</v>
      </c>
      <c r="H17" s="14" t="s">
        <v>93</v>
      </c>
    </row>
    <row r="18" spans="2:8" ht="15" customHeight="1">
      <c r="B18" s="14" t="s">
        <v>69</v>
      </c>
      <c r="C18" s="15">
        <v>1326000</v>
      </c>
      <c r="D18" s="14">
        <v>11</v>
      </c>
      <c r="E18" s="14">
        <v>1870000</v>
      </c>
      <c r="F18" s="14">
        <v>1275000</v>
      </c>
      <c r="G18" s="14" t="s">
        <v>92</v>
      </c>
      <c r="H18" s="14" t="s">
        <v>93</v>
      </c>
    </row>
    <row r="19" spans="2:8" ht="15" customHeight="1">
      <c r="B19" s="14" t="s">
        <v>70</v>
      </c>
      <c r="C19" s="15">
        <v>1404000</v>
      </c>
      <c r="D19" s="14">
        <v>12</v>
      </c>
      <c r="E19" s="14">
        <v>1980000</v>
      </c>
      <c r="F19" s="14">
        <v>1350000</v>
      </c>
      <c r="G19" s="14" t="s">
        <v>92</v>
      </c>
      <c r="H19" s="14" t="s">
        <v>93</v>
      </c>
    </row>
    <row r="20" spans="2:8" ht="15" customHeight="1">
      <c r="B20" s="14" t="s">
        <v>71</v>
      </c>
      <c r="C20" s="15">
        <v>1638000</v>
      </c>
      <c r="D20" s="14">
        <v>14</v>
      </c>
      <c r="E20" s="14">
        <v>2310000</v>
      </c>
      <c r="F20" s="14">
        <v>1575000</v>
      </c>
      <c r="G20" s="14" t="s">
        <v>92</v>
      </c>
      <c r="H20" s="14" t="s">
        <v>93</v>
      </c>
    </row>
    <row r="21" spans="2:8" ht="52.9">
      <c r="B21" s="14" t="s">
        <v>72</v>
      </c>
      <c r="C21" s="15">
        <v>702000</v>
      </c>
      <c r="D21" s="14">
        <v>6</v>
      </c>
      <c r="E21" s="14">
        <v>990000</v>
      </c>
      <c r="F21" s="14">
        <v>675000</v>
      </c>
      <c r="G21" s="14" t="s">
        <v>92</v>
      </c>
      <c r="H21" s="14" t="s">
        <v>93</v>
      </c>
    </row>
    <row r="22" spans="2:8" ht="52.9">
      <c r="B22" s="14" t="s">
        <v>73</v>
      </c>
      <c r="C22" s="15">
        <v>1794000</v>
      </c>
      <c r="D22" s="14">
        <v>15</v>
      </c>
      <c r="E22" s="14">
        <v>2530000</v>
      </c>
      <c r="F22" s="14">
        <v>1725000</v>
      </c>
      <c r="G22" s="14" t="s">
        <v>92</v>
      </c>
      <c r="H22" s="14" t="s">
        <v>93</v>
      </c>
    </row>
    <row r="23" spans="2:8" ht="52.9">
      <c r="B23" s="14" t="s">
        <v>74</v>
      </c>
      <c r="C23" s="15">
        <v>1872000</v>
      </c>
      <c r="D23" s="14">
        <v>16</v>
      </c>
      <c r="E23" s="14">
        <v>2640000</v>
      </c>
      <c r="F23" s="14">
        <v>1800000</v>
      </c>
      <c r="G23" s="14" t="s">
        <v>92</v>
      </c>
      <c r="H23" s="14" t="s">
        <v>93</v>
      </c>
    </row>
    <row r="24" spans="2:8" ht="52.9">
      <c r="B24" s="14" t="s">
        <v>75</v>
      </c>
      <c r="C24" s="15">
        <v>1638000</v>
      </c>
      <c r="D24" s="14">
        <v>14</v>
      </c>
      <c r="E24" s="14">
        <v>2310000</v>
      </c>
      <c r="F24" s="14">
        <v>1575000</v>
      </c>
      <c r="G24" s="14" t="s">
        <v>92</v>
      </c>
      <c r="H24" s="14" t="s">
        <v>93</v>
      </c>
    </row>
    <row r="25" spans="2:8" ht="52.9">
      <c r="B25" s="14" t="s">
        <v>76</v>
      </c>
      <c r="C25" s="15">
        <v>1872000</v>
      </c>
      <c r="D25" s="14">
        <v>16</v>
      </c>
      <c r="E25" s="14">
        <v>2640000</v>
      </c>
      <c r="F25" s="14">
        <v>1800000</v>
      </c>
      <c r="G25" s="14" t="s">
        <v>92</v>
      </c>
      <c r="H25" s="14" t="s">
        <v>93</v>
      </c>
    </row>
    <row r="26" spans="2:8" ht="52.9">
      <c r="B26" s="14" t="s">
        <v>77</v>
      </c>
      <c r="C26" s="15">
        <v>1794000</v>
      </c>
      <c r="D26" s="14">
        <v>15</v>
      </c>
      <c r="E26" s="14">
        <v>2530000</v>
      </c>
      <c r="F26" s="14">
        <v>1725000</v>
      </c>
      <c r="G26" s="14" t="s">
        <v>92</v>
      </c>
      <c r="H26" s="14" t="s">
        <v>93</v>
      </c>
    </row>
    <row r="27" spans="2:8" ht="15" customHeight="1">
      <c r="B27" s="14" t="s">
        <v>78</v>
      </c>
      <c r="C27" s="15">
        <v>1950000</v>
      </c>
      <c r="D27" s="14">
        <v>16</v>
      </c>
      <c r="E27" s="14">
        <v>2750000</v>
      </c>
      <c r="F27" s="14">
        <v>1875000</v>
      </c>
      <c r="G27" s="14" t="s">
        <v>92</v>
      </c>
      <c r="H27" s="14" t="s">
        <v>93</v>
      </c>
    </row>
    <row r="28" spans="2:8" ht="52.9">
      <c r="B28" s="14" t="s">
        <v>79</v>
      </c>
      <c r="C28" s="15">
        <v>1872000</v>
      </c>
      <c r="D28" s="14">
        <v>16</v>
      </c>
      <c r="E28" s="14">
        <v>2640000</v>
      </c>
      <c r="F28" s="14">
        <v>1800000</v>
      </c>
      <c r="G28" s="14" t="s">
        <v>92</v>
      </c>
      <c r="H28" s="14" t="s">
        <v>93</v>
      </c>
    </row>
    <row r="29" spans="2:8" ht="52.9">
      <c r="B29" s="14" t="s">
        <v>80</v>
      </c>
      <c r="C29" s="15">
        <v>1404000</v>
      </c>
      <c r="D29" s="14">
        <v>12</v>
      </c>
      <c r="E29" s="14">
        <v>1980000</v>
      </c>
      <c r="F29" s="14">
        <v>1350000</v>
      </c>
      <c r="G29" s="14" t="s">
        <v>92</v>
      </c>
      <c r="H29" s="14" t="s">
        <v>93</v>
      </c>
    </row>
    <row r="30" spans="2:8" ht="52.9">
      <c r="B30" s="14" t="s">
        <v>81</v>
      </c>
      <c r="C30" s="15">
        <v>1716000</v>
      </c>
      <c r="D30" s="14">
        <v>14</v>
      </c>
      <c r="E30" s="14">
        <v>2420000</v>
      </c>
      <c r="F30" s="14">
        <v>1650000</v>
      </c>
      <c r="G30" s="14" t="s">
        <v>92</v>
      </c>
      <c r="H30" s="14" t="s">
        <v>93</v>
      </c>
    </row>
    <row r="31" spans="2:8" ht="52.9">
      <c r="B31" s="14" t="s">
        <v>82</v>
      </c>
      <c r="C31" s="15">
        <v>780000</v>
      </c>
      <c r="D31" s="14">
        <v>6</v>
      </c>
      <c r="E31" s="14">
        <v>1100000</v>
      </c>
      <c r="F31" s="14">
        <v>750000</v>
      </c>
      <c r="G31" s="14" t="s">
        <v>92</v>
      </c>
      <c r="H31" s="14" t="s">
        <v>93</v>
      </c>
    </row>
    <row r="32" spans="2:8"/>
    <row r="33" spans="2:7">
      <c r="B33" s="9" t="s">
        <v>83</v>
      </c>
      <c r="C33" s="9">
        <f>SUM(C6:C25)</f>
        <v>30888000</v>
      </c>
      <c r="D33" s="9">
        <f>SUM(D6:D25)</f>
        <v>258</v>
      </c>
      <c r="E33" s="9">
        <f>SUM(E6:E25)</f>
        <v>43560000</v>
      </c>
      <c r="F33" s="9">
        <f>SUM(F6:F25)</f>
        <v>29700000</v>
      </c>
      <c r="G33" s="9">
        <f>SUM(G6:G25)</f>
        <v>0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showGridLines="0" workbookViewId="0">
      <pane xSplit="2" ySplit="6" topLeftCell="C7" activePane="bottomRight" state="frozen"/>
      <selection pane="bottomRight"/>
      <selection pane="bottomLeft"/>
      <selection pane="topRight"/>
    </sheetView>
  </sheetViews>
  <sheetFormatPr defaultRowHeight="14.45" zeroHeight="1"/>
  <cols>
    <col min="1" max="1" width="3" style="19" customWidth="1"/>
    <col min="2" max="2" width="28" style="19" customWidth="1"/>
    <col min="3" max="3" width="22" style="19" customWidth="1"/>
    <col min="4" max="4" width="14" style="19" customWidth="1"/>
    <col min="5" max="5" width="16" style="19" customWidth="1"/>
    <col min="6" max="6" width="20" style="19" customWidth="1"/>
    <col min="7" max="8" width="18" style="19" customWidth="1"/>
  </cols>
  <sheetData>
    <row r="1" spans="1:8"/>
    <row r="2" spans="1:8" ht="25.5" customHeight="1">
      <c r="A2" s="22" t="s">
        <v>94</v>
      </c>
      <c r="B2" s="21"/>
      <c r="C2" s="21"/>
      <c r="D2" s="21"/>
      <c r="E2" s="21"/>
      <c r="F2" s="21"/>
      <c r="G2" s="21"/>
    </row>
    <row r="3" spans="1:8" ht="15" customHeight="1">
      <c r="B3" s="20" t="s">
        <v>95</v>
      </c>
      <c r="C3" s="21"/>
      <c r="D3" s="21"/>
      <c r="E3" s="21"/>
      <c r="F3" s="21"/>
      <c r="G3" s="21"/>
      <c r="H3" s="21"/>
    </row>
    <row r="4" spans="1:8"/>
    <row r="5" spans="1:8" ht="31.5" customHeight="1">
      <c r="B5" s="1" t="s">
        <v>96</v>
      </c>
      <c r="C5" s="1" t="s">
        <v>97</v>
      </c>
      <c r="D5" s="1" t="s">
        <v>46</v>
      </c>
      <c r="E5" s="1" t="s">
        <v>98</v>
      </c>
      <c r="F5" s="1" t="s">
        <v>99</v>
      </c>
      <c r="G5" s="1" t="s">
        <v>100</v>
      </c>
      <c r="H5" s="1" t="s">
        <v>101</v>
      </c>
    </row>
    <row r="6" spans="1:8" ht="23.85" customHeight="1">
      <c r="B6" s="13" t="s">
        <v>102</v>
      </c>
      <c r="C6" s="13" t="s">
        <v>103</v>
      </c>
      <c r="D6" s="13" t="s">
        <v>78</v>
      </c>
      <c r="E6" s="13">
        <v>5000</v>
      </c>
      <c r="F6" s="13">
        <v>3400</v>
      </c>
      <c r="G6" s="16">
        <v>0.8</v>
      </c>
      <c r="H6" s="13" t="s">
        <v>104</v>
      </c>
    </row>
    <row r="7" spans="1:8" ht="15" customHeight="1">
      <c r="B7" s="14" t="s">
        <v>105</v>
      </c>
      <c r="C7" s="14" t="s">
        <v>103</v>
      </c>
      <c r="D7" s="14" t="s">
        <v>65</v>
      </c>
      <c r="E7" s="14">
        <v>1200</v>
      </c>
      <c r="F7" s="14">
        <v>850</v>
      </c>
      <c r="G7" s="17">
        <v>0.72</v>
      </c>
      <c r="H7" s="14" t="s">
        <v>104</v>
      </c>
    </row>
    <row r="8" spans="1:8" ht="15" customHeight="1">
      <c r="B8" s="14" t="s">
        <v>106</v>
      </c>
      <c r="C8" s="14" t="s">
        <v>103</v>
      </c>
      <c r="D8" s="14" t="s">
        <v>77</v>
      </c>
      <c r="E8" s="14">
        <v>900</v>
      </c>
      <c r="F8" s="14">
        <v>610</v>
      </c>
      <c r="G8" s="17">
        <v>0.7</v>
      </c>
      <c r="H8" s="14" t="s">
        <v>104</v>
      </c>
    </row>
    <row r="9" spans="1:8" ht="15" customHeight="1">
      <c r="B9" s="14" t="s">
        <v>107</v>
      </c>
      <c r="C9" s="14" t="s">
        <v>103</v>
      </c>
      <c r="D9" s="14" t="s">
        <v>78</v>
      </c>
      <c r="E9" s="14">
        <v>800</v>
      </c>
      <c r="F9" s="14">
        <v>540</v>
      </c>
      <c r="G9" s="17">
        <v>0.69</v>
      </c>
      <c r="H9" s="14" t="s">
        <v>104</v>
      </c>
    </row>
    <row r="10" spans="1:8" ht="15" customHeight="1">
      <c r="B10" s="14" t="s">
        <v>108</v>
      </c>
      <c r="C10" s="14" t="s">
        <v>109</v>
      </c>
      <c r="D10" s="14" t="s">
        <v>110</v>
      </c>
      <c r="E10" s="14">
        <v>700</v>
      </c>
      <c r="F10" s="14">
        <v>470</v>
      </c>
      <c r="G10" s="17">
        <v>0.68</v>
      </c>
      <c r="H10" s="14" t="s">
        <v>104</v>
      </c>
    </row>
    <row r="11" spans="1:8" ht="15" customHeight="1">
      <c r="B11" s="14"/>
      <c r="C11" s="14"/>
      <c r="D11" s="14"/>
      <c r="E11" s="14"/>
      <c r="F11" s="14"/>
      <c r="G11" s="17"/>
      <c r="H11" s="14"/>
    </row>
    <row r="12" spans="1:8" ht="15" customHeight="1">
      <c r="B12" s="14"/>
      <c r="C12" s="14"/>
      <c r="D12" s="14"/>
      <c r="E12" s="14"/>
      <c r="F12" s="14"/>
      <c r="G12" s="17"/>
      <c r="H12" s="14"/>
    </row>
    <row r="13" spans="1:8" ht="15" customHeight="1">
      <c r="B13" s="14"/>
      <c r="C13" s="14"/>
      <c r="D13" s="14"/>
      <c r="E13" s="14"/>
      <c r="F13" s="14"/>
      <c r="G13" s="17"/>
      <c r="H13" s="14"/>
    </row>
    <row r="14" spans="1:8" ht="15" customHeight="1">
      <c r="B14" s="14"/>
      <c r="C14" s="14"/>
      <c r="D14" s="14"/>
      <c r="E14" s="14"/>
      <c r="F14" s="14"/>
      <c r="G14" s="17"/>
      <c r="H14" s="14"/>
    </row>
    <row r="15" spans="1:8" ht="15" customHeight="1">
      <c r="B15" s="14"/>
      <c r="C15" s="14"/>
      <c r="D15" s="14"/>
      <c r="E15" s="14"/>
      <c r="F15" s="14"/>
      <c r="G15" s="17"/>
      <c r="H15" s="14"/>
    </row>
    <row r="16" spans="1:8" ht="15" customHeight="1">
      <c r="B16" s="14"/>
      <c r="C16" s="14"/>
      <c r="D16" s="14"/>
      <c r="E16" s="14"/>
      <c r="F16" s="14"/>
      <c r="G16" s="17"/>
      <c r="H16" s="14"/>
    </row>
    <row r="17" spans="2:8" ht="15" customHeight="1">
      <c r="B17" s="14"/>
      <c r="C17" s="14"/>
      <c r="D17" s="14"/>
      <c r="E17" s="14"/>
      <c r="F17" s="14"/>
      <c r="G17" s="17"/>
      <c r="H17" s="14"/>
    </row>
    <row r="18" spans="2:8" ht="15" customHeight="1">
      <c r="B18" s="14"/>
      <c r="C18" s="14"/>
      <c r="D18" s="14"/>
      <c r="E18" s="14"/>
      <c r="F18" s="14"/>
      <c r="G18" s="17"/>
      <c r="H18" s="14"/>
    </row>
    <row r="19" spans="2:8" ht="15" customHeight="1">
      <c r="B19" s="14"/>
      <c r="C19" s="14"/>
      <c r="D19" s="14"/>
      <c r="E19" s="14"/>
      <c r="F19" s="14"/>
      <c r="G19" s="17"/>
      <c r="H19" s="14"/>
    </row>
    <row r="20" spans="2:8" ht="15" customHeight="1">
      <c r="B20" s="14"/>
      <c r="C20" s="14"/>
      <c r="D20" s="14"/>
      <c r="E20" s="14"/>
      <c r="F20" s="14"/>
      <c r="G20" s="17"/>
      <c r="H20" s="14"/>
    </row>
    <row r="21" spans="2:8" ht="15" customHeight="1">
      <c r="B21" s="14"/>
      <c r="C21" s="14"/>
      <c r="D21" s="14"/>
      <c r="E21" s="14"/>
      <c r="F21" s="14"/>
      <c r="G21" s="17"/>
      <c r="H21" s="14"/>
    </row>
    <row r="22" spans="2:8" ht="15" customHeight="1">
      <c r="B22" s="14"/>
      <c r="C22" s="14"/>
      <c r="D22" s="14"/>
      <c r="E22" s="14"/>
      <c r="F22" s="14"/>
      <c r="G22" s="17"/>
      <c r="H22" s="14"/>
    </row>
    <row r="23" spans="2:8" ht="15" customHeight="1">
      <c r="B23" s="14"/>
      <c r="C23" s="14"/>
      <c r="D23" s="14"/>
      <c r="E23" s="14"/>
      <c r="F23" s="14"/>
      <c r="G23" s="17"/>
      <c r="H23" s="14"/>
    </row>
    <row r="24" spans="2:8" ht="15" customHeight="1">
      <c r="B24" s="14"/>
      <c r="C24" s="14"/>
      <c r="D24" s="14"/>
      <c r="E24" s="14"/>
      <c r="F24" s="14"/>
      <c r="G24" s="17"/>
      <c r="H24" s="14"/>
    </row>
    <row r="25" spans="2:8" ht="15" customHeight="1">
      <c r="B25" s="14"/>
      <c r="C25" s="14"/>
      <c r="D25" s="14"/>
      <c r="E25" s="14"/>
      <c r="F25" s="14"/>
      <c r="G25" s="17"/>
      <c r="H25" s="14"/>
    </row>
    <row r="26" spans="2:8" ht="15" customHeight="1">
      <c r="B26" s="14"/>
      <c r="C26" s="14"/>
      <c r="D26" s="14"/>
      <c r="E26" s="14"/>
      <c r="F26" s="14"/>
      <c r="G26" s="17"/>
      <c r="H26" s="14"/>
    </row>
    <row r="27" spans="2:8"/>
    <row r="28" spans="2:8" ht="15" customHeight="1">
      <c r="B28" s="9" t="s">
        <v>83</v>
      </c>
      <c r="D28" s="9">
        <f>SUM(D6:D26)</f>
        <v>0</v>
      </c>
      <c r="E28" s="9">
        <f>SUM(E6:E26)</f>
        <v>8600</v>
      </c>
      <c r="F28" s="18">
        <f>IF(ISERROR(AVERAGE(F6:F26)),0,AVERAGE(F6:F26))</f>
        <v>1174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showGridLines="0" workbookViewId="0">
      <pane xSplit="2" ySplit="6" topLeftCell="C7" activePane="bottomRight" state="frozen"/>
      <selection pane="bottomRight"/>
      <selection pane="bottomLeft"/>
      <selection pane="topRight"/>
    </sheetView>
  </sheetViews>
  <sheetFormatPr defaultRowHeight="14.45" zeroHeight="1"/>
  <cols>
    <col min="1" max="1" width="3" style="19" customWidth="1"/>
    <col min="2" max="2" width="26" style="19" customWidth="1"/>
    <col min="3" max="3" width="20" style="19" customWidth="1"/>
    <col min="4" max="4" width="18" style="19" customWidth="1"/>
    <col min="5" max="5" width="16" style="19" customWidth="1"/>
    <col min="6" max="6" width="18" style="19" customWidth="1"/>
    <col min="7" max="7" width="22" style="19" customWidth="1"/>
    <col min="8" max="8" width="18" style="19" customWidth="1"/>
    <col min="9" max="9" width="28" style="19" customWidth="1"/>
  </cols>
  <sheetData>
    <row r="1" spans="1:9"/>
    <row r="2" spans="1:9" ht="25.5" customHeight="1">
      <c r="A2" s="22" t="s">
        <v>111</v>
      </c>
      <c r="B2" s="21"/>
      <c r="C2" s="21"/>
      <c r="D2" s="21"/>
      <c r="E2" s="21"/>
      <c r="F2" s="21"/>
      <c r="G2" s="21"/>
      <c r="H2" s="21"/>
    </row>
    <row r="3" spans="1:9" ht="15" customHeight="1">
      <c r="B3" s="20" t="s">
        <v>112</v>
      </c>
      <c r="C3" s="21"/>
      <c r="D3" s="21"/>
      <c r="E3" s="21"/>
      <c r="F3" s="21"/>
      <c r="G3" s="21"/>
      <c r="H3" s="21"/>
      <c r="I3" s="21"/>
    </row>
    <row r="4" spans="1:9"/>
    <row r="5" spans="1:9" ht="31.5" customHeight="1">
      <c r="B5" s="1" t="s">
        <v>113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91</v>
      </c>
    </row>
    <row r="6" spans="1:9" ht="15" customHeight="1">
      <c r="B6" s="13" t="s">
        <v>120</v>
      </c>
      <c r="C6" s="13" t="s">
        <v>120</v>
      </c>
      <c r="D6" s="13" t="s">
        <v>121</v>
      </c>
      <c r="E6" s="13" t="s">
        <v>122</v>
      </c>
      <c r="F6" s="13" t="s">
        <v>122</v>
      </c>
      <c r="G6" s="13" t="s">
        <v>123</v>
      </c>
      <c r="H6" s="13" t="s">
        <v>124</v>
      </c>
      <c r="I6" s="13" t="s">
        <v>125</v>
      </c>
    </row>
    <row r="7" spans="1:9" ht="15" customHeight="1">
      <c r="B7" s="14" t="s">
        <v>126</v>
      </c>
      <c r="C7" s="14" t="s">
        <v>126</v>
      </c>
      <c r="D7" s="14" t="s">
        <v>121</v>
      </c>
      <c r="E7" s="14" t="s">
        <v>122</v>
      </c>
      <c r="F7" s="14" t="s">
        <v>122</v>
      </c>
      <c r="G7" s="14" t="s">
        <v>123</v>
      </c>
      <c r="H7" s="14" t="s">
        <v>124</v>
      </c>
      <c r="I7" s="14" t="s">
        <v>127</v>
      </c>
    </row>
    <row r="8" spans="1:9" ht="15" customHeight="1">
      <c r="B8" s="14" t="s">
        <v>128</v>
      </c>
      <c r="C8" s="14" t="s">
        <v>128</v>
      </c>
      <c r="D8" s="14" t="s">
        <v>121</v>
      </c>
      <c r="E8" s="14" t="s">
        <v>122</v>
      </c>
      <c r="F8" s="14" t="s">
        <v>122</v>
      </c>
      <c r="G8" s="14" t="s">
        <v>123</v>
      </c>
      <c r="H8" s="14" t="s">
        <v>124</v>
      </c>
      <c r="I8" s="14" t="s">
        <v>129</v>
      </c>
    </row>
    <row r="9" spans="1:9" ht="15" customHeight="1">
      <c r="B9" s="14" t="s">
        <v>130</v>
      </c>
      <c r="C9" s="14" t="s">
        <v>130</v>
      </c>
      <c r="D9" s="14" t="s">
        <v>131</v>
      </c>
      <c r="E9" s="14" t="s">
        <v>122</v>
      </c>
      <c r="F9" s="14" t="s">
        <v>122</v>
      </c>
      <c r="G9" s="14" t="s">
        <v>122</v>
      </c>
      <c r="H9" s="14" t="s">
        <v>123</v>
      </c>
      <c r="I9" s="14" t="s">
        <v>132</v>
      </c>
    </row>
    <row r="10" spans="1:9" ht="15" customHeight="1">
      <c r="B10" s="14" t="s">
        <v>133</v>
      </c>
      <c r="C10" s="14" t="s">
        <v>133</v>
      </c>
      <c r="D10" s="14" t="s">
        <v>121</v>
      </c>
      <c r="E10" s="14" t="s">
        <v>122</v>
      </c>
      <c r="F10" s="14" t="s">
        <v>123</v>
      </c>
      <c r="G10" s="14" t="s">
        <v>123</v>
      </c>
      <c r="H10" s="14" t="s">
        <v>124</v>
      </c>
      <c r="I10" s="14" t="s">
        <v>134</v>
      </c>
    </row>
    <row r="11" spans="1:9" ht="15" customHeight="1">
      <c r="B11" s="14" t="s">
        <v>135</v>
      </c>
      <c r="C11" s="14" t="s">
        <v>135</v>
      </c>
      <c r="D11" s="14" t="s">
        <v>121</v>
      </c>
      <c r="E11" s="14" t="s">
        <v>122</v>
      </c>
      <c r="F11" s="14" t="s">
        <v>122</v>
      </c>
      <c r="G11" s="14" t="s">
        <v>123</v>
      </c>
      <c r="H11" s="14" t="s">
        <v>124</v>
      </c>
      <c r="I11" s="14" t="s">
        <v>129</v>
      </c>
    </row>
    <row r="12" spans="1:9" ht="15" customHeight="1">
      <c r="B12" s="14" t="s">
        <v>136</v>
      </c>
      <c r="C12" s="14" t="s">
        <v>136</v>
      </c>
      <c r="D12" s="14" t="s">
        <v>137</v>
      </c>
      <c r="E12" s="14" t="s">
        <v>122</v>
      </c>
      <c r="F12" s="14" t="s">
        <v>122</v>
      </c>
      <c r="G12" s="14" t="s">
        <v>122</v>
      </c>
      <c r="H12" s="14" t="s">
        <v>123</v>
      </c>
      <c r="I12" s="14" t="s">
        <v>138</v>
      </c>
    </row>
    <row r="13" spans="1:9" ht="15" customHeight="1">
      <c r="B13" s="14" t="s">
        <v>139</v>
      </c>
      <c r="C13" s="14" t="s">
        <v>139</v>
      </c>
      <c r="D13" s="14" t="s">
        <v>121</v>
      </c>
      <c r="E13" s="14" t="s">
        <v>122</v>
      </c>
      <c r="F13" s="14" t="s">
        <v>122</v>
      </c>
      <c r="G13" s="14" t="s">
        <v>123</v>
      </c>
      <c r="H13" s="14" t="s">
        <v>124</v>
      </c>
      <c r="I13" s="14" t="s">
        <v>129</v>
      </c>
    </row>
    <row r="14" spans="1:9" ht="15" customHeight="1">
      <c r="B14" s="14" t="s">
        <v>140</v>
      </c>
      <c r="C14" s="14" t="s">
        <v>140</v>
      </c>
      <c r="D14" s="14" t="s">
        <v>121</v>
      </c>
      <c r="E14" s="14" t="s">
        <v>123</v>
      </c>
      <c r="F14" s="14" t="s">
        <v>123</v>
      </c>
      <c r="G14" s="14" t="s">
        <v>123</v>
      </c>
      <c r="H14" s="14" t="s">
        <v>124</v>
      </c>
      <c r="I14" s="14" t="s">
        <v>141</v>
      </c>
    </row>
    <row r="15" spans="1:9" ht="15" customHeight="1">
      <c r="B15" s="14" t="s">
        <v>142</v>
      </c>
      <c r="C15" s="14" t="s">
        <v>143</v>
      </c>
      <c r="D15" s="14" t="s">
        <v>121</v>
      </c>
      <c r="E15" s="14" t="s">
        <v>122</v>
      </c>
      <c r="F15" s="14" t="s">
        <v>122</v>
      </c>
      <c r="G15" s="14" t="s">
        <v>123</v>
      </c>
      <c r="H15" s="14" t="s">
        <v>124</v>
      </c>
      <c r="I15" s="14" t="s">
        <v>129</v>
      </c>
    </row>
    <row r="16" spans="1:9" ht="15" customHeight="1">
      <c r="B16" s="14"/>
      <c r="C16" s="14"/>
      <c r="D16" s="14"/>
      <c r="E16" s="14"/>
      <c r="F16" s="14"/>
      <c r="G16" s="14"/>
      <c r="H16" s="14"/>
      <c r="I16" s="14"/>
    </row>
    <row r="17" spans="2:9" ht="15" customHeight="1">
      <c r="B17" s="14"/>
      <c r="C17" s="14"/>
      <c r="D17" s="14"/>
      <c r="E17" s="14"/>
      <c r="F17" s="14"/>
      <c r="G17" s="14"/>
      <c r="H17" s="14"/>
      <c r="I17" s="14"/>
    </row>
    <row r="18" spans="2:9" ht="15" customHeight="1">
      <c r="B18" s="14"/>
      <c r="C18" s="14"/>
      <c r="D18" s="14"/>
      <c r="E18" s="14"/>
      <c r="F18" s="14"/>
      <c r="G18" s="14"/>
      <c r="H18" s="14"/>
      <c r="I18" s="14"/>
    </row>
    <row r="19" spans="2:9" ht="15" customHeight="1">
      <c r="B19" s="14"/>
      <c r="C19" s="14"/>
      <c r="D19" s="14"/>
      <c r="E19" s="14"/>
      <c r="F19" s="14"/>
      <c r="G19" s="14"/>
      <c r="H19" s="14"/>
      <c r="I19" s="14"/>
    </row>
    <row r="20" spans="2:9" ht="15" customHeight="1">
      <c r="B20" s="14"/>
      <c r="C20" s="14"/>
      <c r="D20" s="14"/>
      <c r="E20" s="14"/>
      <c r="F20" s="14"/>
      <c r="G20" s="14"/>
      <c r="H20" s="14"/>
      <c r="I20" s="14"/>
    </row>
    <row r="21" spans="2:9" ht="15" customHeight="1">
      <c r="B21" s="14"/>
      <c r="C21" s="14"/>
      <c r="D21" s="14"/>
      <c r="E21" s="14"/>
      <c r="F21" s="14"/>
      <c r="G21" s="14"/>
      <c r="H21" s="14"/>
      <c r="I21" s="14"/>
    </row>
    <row r="22" spans="2:9" ht="15" customHeight="1">
      <c r="B22" s="14"/>
      <c r="C22" s="14"/>
      <c r="D22" s="14"/>
      <c r="E22" s="14"/>
      <c r="F22" s="14"/>
      <c r="G22" s="14"/>
      <c r="H22" s="14"/>
      <c r="I22" s="14"/>
    </row>
    <row r="23" spans="2:9" ht="15" customHeight="1">
      <c r="B23" s="14"/>
      <c r="C23" s="14"/>
      <c r="D23" s="14"/>
      <c r="E23" s="14"/>
      <c r="F23" s="14"/>
      <c r="G23" s="14"/>
      <c r="H23" s="14"/>
      <c r="I23" s="14"/>
    </row>
    <row r="24" spans="2:9" ht="15" customHeight="1">
      <c r="B24" s="14"/>
      <c r="C24" s="14"/>
      <c r="D24" s="14"/>
      <c r="E24" s="14"/>
      <c r="F24" s="14"/>
      <c r="G24" s="14"/>
      <c r="H24" s="14"/>
      <c r="I24" s="14"/>
    </row>
    <row r="25" spans="2:9" ht="15" customHeight="1">
      <c r="B25" s="14"/>
      <c r="C25" s="14"/>
      <c r="D25" s="14"/>
      <c r="E25" s="14"/>
      <c r="F25" s="14"/>
      <c r="G25" s="14"/>
      <c r="H25" s="14"/>
      <c r="I25" s="14"/>
    </row>
    <row r="26" spans="2:9" ht="15" customHeight="1">
      <c r="B26" s="14"/>
      <c r="C26" s="14"/>
      <c r="D26" s="14"/>
      <c r="E26" s="14"/>
      <c r="F26" s="14"/>
      <c r="G26" s="14"/>
      <c r="H26" s="14"/>
      <c r="I26" s="14"/>
    </row>
    <row r="27" spans="2:9"/>
    <row r="28" spans="2:9" ht="15" customHeight="1">
      <c r="B28" s="9" t="s">
        <v>121</v>
      </c>
      <c r="C28" s="9">
        <f>COUNTIF(D6:D26,"Compliant")</f>
        <v>8</v>
      </c>
    </row>
    <row r="29" spans="2:9" ht="15" customHeight="1">
      <c r="B29" s="9" t="s">
        <v>144</v>
      </c>
      <c r="C29" s="9">
        <f>COUNTA(B6:B26)</f>
        <v>10</v>
      </c>
    </row>
    <row r="30" spans="2:9" ht="15" customHeight="1">
      <c r="B30" s="9" t="s">
        <v>145</v>
      </c>
      <c r="C30" s="9">
        <f>COUNTIF(E6:E26,"Yes")</f>
        <v>9</v>
      </c>
    </row>
    <row r="31" spans="2:9" ht="15" customHeight="1">
      <c r="B31" s="9" t="s">
        <v>146</v>
      </c>
      <c r="C31" s="9">
        <f>COUNTIF(F6:F26,"Yes")</f>
        <v>8</v>
      </c>
    </row>
    <row r="32" spans="2:9" ht="15" customHeight="1">
      <c r="B32" s="9" t="s">
        <v>147</v>
      </c>
      <c r="C32" s="9">
        <f>COUNTIF(G6:G26,"Yes")</f>
        <v>2</v>
      </c>
    </row>
    <row r="33" spans="2:3" ht="15" customHeight="1">
      <c r="B33" s="9" t="s">
        <v>148</v>
      </c>
      <c r="C33" s="9">
        <f>COUNTIF(H6:H26,"Yes")</f>
        <v>0</v>
      </c>
    </row>
  </sheetData>
  <mergeCells count="2">
    <mergeCell ref="B3:I3"/>
    <mergeCell ref="A2:H2"/>
  </mergeCells>
  <dataValidations count="2">
    <dataValidation type="list" allowBlank="1" sqref="D7:D26" xr:uid="{00000000-0002-0000-0500-000000000000}">
      <formula1>"Compliant,Non-compliant,Under Review"</formula1>
      <formula2>0</formula2>
    </dataValidation>
    <dataValidation type="list" allowBlank="1" sqref="E7:H26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showGridLines="0" tabSelected="1" workbookViewId="0">
      <pane xSplit="2" ySplit="6" topLeftCell="I7" activePane="bottomRight" state="frozen"/>
      <selection pane="bottomRight"/>
      <selection pane="bottomLeft"/>
      <selection pane="topRight"/>
    </sheetView>
  </sheetViews>
  <sheetFormatPr defaultRowHeight="14.45" zeroHeight="1"/>
  <cols>
    <col min="1" max="1" width="3" style="19" customWidth="1"/>
    <col min="2" max="2" width="30" style="19" customWidth="1"/>
    <col min="3" max="3" width="16" style="19" customWidth="1"/>
    <col min="4" max="5" width="20" style="19" customWidth="1"/>
    <col min="6" max="6" width="22" style="19" customWidth="1"/>
    <col min="7" max="7" width="32" style="19" customWidth="1"/>
    <col min="8" max="8" width="24" style="19" customWidth="1"/>
  </cols>
  <sheetData>
    <row r="1" spans="1:8"/>
    <row r="2" spans="1:8" ht="25.5" customHeight="1">
      <c r="A2" s="22" t="s">
        <v>149</v>
      </c>
      <c r="B2" s="21"/>
      <c r="C2" s="21"/>
      <c r="D2" s="21"/>
      <c r="E2" s="21"/>
      <c r="F2" s="21"/>
      <c r="G2" s="21"/>
    </row>
    <row r="3" spans="1:8" ht="15" customHeight="1">
      <c r="B3" s="20" t="s">
        <v>150</v>
      </c>
      <c r="C3" s="21"/>
      <c r="D3" s="21"/>
      <c r="E3" s="21"/>
      <c r="F3" s="21"/>
      <c r="G3" s="21"/>
      <c r="H3" s="21"/>
    </row>
    <row r="4" spans="1:8"/>
    <row r="5" spans="1:8" ht="31.5" customHeight="1">
      <c r="B5" s="1" t="s">
        <v>151</v>
      </c>
      <c r="C5" s="1" t="s">
        <v>46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91</v>
      </c>
    </row>
    <row r="6" spans="1:8" ht="35.1" customHeight="1">
      <c r="B6" s="13" t="s">
        <v>156</v>
      </c>
      <c r="C6" s="13" t="s">
        <v>78</v>
      </c>
      <c r="D6" s="13" t="s">
        <v>157</v>
      </c>
      <c r="E6" s="13">
        <v>80</v>
      </c>
      <c r="F6" s="13">
        <v>35</v>
      </c>
      <c r="G6" s="13" t="s">
        <v>158</v>
      </c>
      <c r="H6" s="13" t="s">
        <v>159</v>
      </c>
    </row>
    <row r="7" spans="1:8" ht="15" customHeight="1">
      <c r="B7" s="14" t="s">
        <v>160</v>
      </c>
      <c r="C7" s="14" t="s">
        <v>161</v>
      </c>
      <c r="D7" s="14" t="s">
        <v>157</v>
      </c>
      <c r="E7" s="14">
        <v>60</v>
      </c>
      <c r="F7" s="14">
        <v>22</v>
      </c>
      <c r="G7" s="14" t="s">
        <v>162</v>
      </c>
      <c r="H7" s="14" t="s">
        <v>163</v>
      </c>
    </row>
    <row r="8" spans="1:8" ht="15" customHeight="1">
      <c r="B8" s="14" t="s">
        <v>164</v>
      </c>
      <c r="C8" s="14" t="s">
        <v>65</v>
      </c>
      <c r="D8" s="14" t="s">
        <v>165</v>
      </c>
      <c r="E8" s="14">
        <v>45</v>
      </c>
      <c r="F8" s="14">
        <v>5</v>
      </c>
      <c r="G8" s="14" t="s">
        <v>166</v>
      </c>
      <c r="H8" s="14" t="s">
        <v>167</v>
      </c>
    </row>
    <row r="9" spans="1:8" ht="15" customHeight="1">
      <c r="B9" s="14" t="s">
        <v>168</v>
      </c>
      <c r="C9" s="14" t="s">
        <v>77</v>
      </c>
      <c r="D9" s="14" t="s">
        <v>169</v>
      </c>
      <c r="E9" s="14">
        <v>30</v>
      </c>
      <c r="F9" s="14">
        <v>30</v>
      </c>
      <c r="G9" s="14" t="s">
        <v>170</v>
      </c>
      <c r="H9" s="14" t="s">
        <v>171</v>
      </c>
    </row>
    <row r="10" spans="1:8" ht="15" customHeight="1">
      <c r="B10" s="14" t="s">
        <v>172</v>
      </c>
      <c r="C10" s="14" t="s">
        <v>68</v>
      </c>
      <c r="D10" s="14" t="s">
        <v>157</v>
      </c>
      <c r="E10" s="14">
        <v>50</v>
      </c>
      <c r="F10" s="14">
        <v>18</v>
      </c>
      <c r="G10" s="14" t="s">
        <v>173</v>
      </c>
      <c r="H10" s="14" t="s">
        <v>159</v>
      </c>
    </row>
    <row r="11" spans="1:8" ht="15" customHeight="1">
      <c r="B11" s="14" t="s">
        <v>174</v>
      </c>
      <c r="C11" s="14" t="s">
        <v>66</v>
      </c>
      <c r="D11" s="14" t="s">
        <v>165</v>
      </c>
      <c r="E11" s="14">
        <v>40</v>
      </c>
      <c r="F11" s="14">
        <v>0</v>
      </c>
      <c r="G11" s="14" t="s">
        <v>175</v>
      </c>
      <c r="H11" s="14" t="s">
        <v>176</v>
      </c>
    </row>
    <row r="12" spans="1:8" ht="15" customHeight="1">
      <c r="B12" s="14"/>
      <c r="C12" s="14"/>
      <c r="D12" s="14"/>
      <c r="E12" s="14"/>
      <c r="F12" s="14"/>
      <c r="G12" s="14"/>
      <c r="H12" s="14"/>
    </row>
    <row r="13" spans="1:8" ht="15" customHeight="1">
      <c r="B13" s="14"/>
      <c r="C13" s="14"/>
      <c r="D13" s="14"/>
      <c r="E13" s="14"/>
      <c r="F13" s="14"/>
      <c r="G13" s="14"/>
      <c r="H13" s="14"/>
    </row>
    <row r="14" spans="1:8" ht="15" customHeight="1">
      <c r="B14" s="14"/>
      <c r="C14" s="14"/>
      <c r="D14" s="14"/>
      <c r="E14" s="14"/>
      <c r="F14" s="14"/>
      <c r="G14" s="14"/>
      <c r="H14" s="14"/>
    </row>
    <row r="15" spans="1:8" ht="15" customHeight="1">
      <c r="B15" s="14"/>
      <c r="C15" s="14"/>
      <c r="D15" s="14"/>
      <c r="E15" s="14"/>
      <c r="F15" s="14"/>
      <c r="G15" s="14"/>
      <c r="H15" s="14"/>
    </row>
    <row r="16" spans="1:8" ht="15" customHeight="1">
      <c r="B16" s="14"/>
      <c r="C16" s="14"/>
      <c r="D16" s="14"/>
      <c r="E16" s="14"/>
      <c r="F16" s="14"/>
      <c r="G16" s="14"/>
      <c r="H16" s="14"/>
    </row>
    <row r="17" spans="2:8" ht="15" customHeight="1">
      <c r="B17" s="14"/>
      <c r="C17" s="14"/>
      <c r="D17" s="14"/>
      <c r="E17" s="14"/>
      <c r="F17" s="14"/>
      <c r="G17" s="14"/>
      <c r="H17" s="14"/>
    </row>
    <row r="18" spans="2:8" ht="15" customHeight="1">
      <c r="B18" s="14"/>
      <c r="C18" s="14"/>
      <c r="D18" s="14"/>
      <c r="E18" s="14"/>
      <c r="F18" s="14"/>
      <c r="G18" s="14"/>
      <c r="H18" s="14"/>
    </row>
    <row r="19" spans="2:8" ht="15" customHeight="1">
      <c r="B19" s="14"/>
      <c r="C19" s="14"/>
      <c r="D19" s="14"/>
      <c r="E19" s="14"/>
      <c r="F19" s="14"/>
      <c r="G19" s="14"/>
      <c r="H19" s="14"/>
    </row>
    <row r="20" spans="2:8" ht="15" customHeight="1">
      <c r="B20" s="14"/>
      <c r="C20" s="14"/>
      <c r="D20" s="14"/>
      <c r="E20" s="14"/>
      <c r="F20" s="14"/>
      <c r="G20" s="14"/>
      <c r="H20" s="14"/>
    </row>
    <row r="21" spans="2:8" ht="15" customHeight="1">
      <c r="B21" s="14"/>
      <c r="C21" s="14"/>
      <c r="D21" s="14"/>
      <c r="E21" s="14"/>
      <c r="F21" s="14"/>
      <c r="G21" s="14"/>
      <c r="H21" s="14"/>
    </row>
    <row r="22" spans="2:8" ht="15" customHeight="1">
      <c r="B22" s="14"/>
      <c r="C22" s="14"/>
      <c r="D22" s="14"/>
      <c r="E22" s="14"/>
      <c r="F22" s="14"/>
      <c r="G22" s="14"/>
      <c r="H22" s="14"/>
    </row>
    <row r="23" spans="2:8" ht="15" customHeight="1">
      <c r="B23" s="14"/>
      <c r="C23" s="14"/>
      <c r="D23" s="14"/>
      <c r="E23" s="14"/>
      <c r="F23" s="14"/>
      <c r="G23" s="14"/>
      <c r="H23" s="14"/>
    </row>
    <row r="24" spans="2:8" ht="15" customHeight="1">
      <c r="B24" s="14"/>
      <c r="C24" s="14"/>
      <c r="D24" s="14"/>
      <c r="E24" s="14"/>
      <c r="F24" s="14"/>
      <c r="G24" s="14"/>
      <c r="H24" s="14"/>
    </row>
    <row r="25" spans="2:8" ht="15" customHeight="1">
      <c r="B25" s="14"/>
      <c r="C25" s="14"/>
      <c r="D25" s="14"/>
      <c r="E25" s="14"/>
      <c r="F25" s="14"/>
      <c r="G25" s="14"/>
      <c r="H25" s="14"/>
    </row>
    <row r="26" spans="2:8" ht="15" customHeight="1">
      <c r="B26" s="14"/>
      <c r="C26" s="14"/>
      <c r="D26" s="14"/>
      <c r="E26" s="14"/>
      <c r="F26" s="14"/>
      <c r="G26" s="14"/>
      <c r="H26" s="14"/>
    </row>
    <row r="27" spans="2:8"/>
    <row r="28" spans="2:8" ht="15" customHeight="1">
      <c r="B28" s="9" t="s">
        <v>177</v>
      </c>
      <c r="C28" s="9">
        <f>COUNTA(B6:B26)</f>
        <v>6</v>
      </c>
    </row>
    <row r="29" spans="2:8" ht="15" customHeight="1">
      <c r="B29" s="9" t="s">
        <v>178</v>
      </c>
      <c r="C29" s="9">
        <f>COUNTIF(D6:D26,"Formalized")+COUNTIF(D6:D26,"Remediated")</f>
        <v>1</v>
      </c>
    </row>
    <row r="30" spans="2:8" ht="15" customHeight="1">
      <c r="B30" s="9" t="s">
        <v>179</v>
      </c>
      <c r="C30" s="9">
        <f>SUM(E6:E26)</f>
        <v>305</v>
      </c>
    </row>
    <row r="31" spans="2:8" ht="15" customHeight="1">
      <c r="B31" s="9" t="s">
        <v>180</v>
      </c>
      <c r="C31" s="9">
        <f>SUM(F6:F26)</f>
        <v>110</v>
      </c>
    </row>
  </sheetData>
  <mergeCells count="2">
    <mergeCell ref="B3:H3"/>
    <mergeCell ref="A2:G2"/>
  </mergeCells>
  <dataValidations count="1">
    <dataValidation type="list" allowBlank="1" sqref="D7:D26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showGridLines="0" workbookViewId="0">
      <pane xSplit="2" ySplit="6" topLeftCell="C7" activePane="bottomRight" state="frozen"/>
      <selection pane="bottomRight"/>
      <selection pane="bottomLeft"/>
      <selection pane="topRight"/>
    </sheetView>
  </sheetViews>
  <sheetFormatPr defaultRowHeight="14.45" zeroHeight="1"/>
  <cols>
    <col min="1" max="1" width="3" style="19" customWidth="1"/>
    <col min="2" max="2" width="28" style="19" customWidth="1"/>
    <col min="3" max="3" width="16" style="19" customWidth="1"/>
    <col min="4" max="4" width="18" style="19" customWidth="1"/>
    <col min="5" max="5" width="14" style="19" customWidth="1"/>
    <col min="6" max="6" width="22" style="19" customWidth="1"/>
    <col min="7" max="7" width="20" style="19" customWidth="1"/>
    <col min="8" max="8" width="18" style="19" customWidth="1"/>
    <col min="9" max="9" width="30" style="19" customWidth="1"/>
  </cols>
  <sheetData>
    <row r="1" spans="1:9"/>
    <row r="2" spans="1:9" ht="25.5" customHeight="1">
      <c r="A2" s="22" t="s">
        <v>181</v>
      </c>
      <c r="B2" s="21"/>
      <c r="C2" s="21"/>
      <c r="D2" s="21"/>
      <c r="E2" s="21"/>
      <c r="F2" s="21"/>
      <c r="G2" s="21"/>
      <c r="H2" s="21"/>
    </row>
    <row r="3" spans="1:9" ht="15" customHeight="1">
      <c r="B3" s="20" t="s">
        <v>182</v>
      </c>
      <c r="C3" s="21"/>
      <c r="D3" s="21"/>
      <c r="E3" s="21"/>
      <c r="F3" s="21"/>
      <c r="G3" s="21"/>
      <c r="H3" s="21"/>
      <c r="I3" s="21"/>
    </row>
    <row r="4" spans="1:9"/>
    <row r="5" spans="1:9" ht="31.5" customHeight="1">
      <c r="B5" s="1" t="s">
        <v>183</v>
      </c>
      <c r="C5" s="1" t="s">
        <v>46</v>
      </c>
      <c r="D5" s="1" t="s">
        <v>184</v>
      </c>
      <c r="E5" s="1" t="s">
        <v>185</v>
      </c>
      <c r="F5" s="1" t="s">
        <v>186</v>
      </c>
      <c r="G5" s="1" t="s">
        <v>187</v>
      </c>
      <c r="H5" s="1" t="s">
        <v>188</v>
      </c>
      <c r="I5" s="1" t="s">
        <v>91</v>
      </c>
    </row>
    <row r="6" spans="1:9" ht="23.85" customHeight="1">
      <c r="B6" s="13" t="s">
        <v>156</v>
      </c>
      <c r="C6" s="13" t="s">
        <v>78</v>
      </c>
      <c r="D6" s="13" t="s">
        <v>189</v>
      </c>
      <c r="E6" s="13" t="s">
        <v>190</v>
      </c>
      <c r="F6" s="13" t="s">
        <v>191</v>
      </c>
      <c r="G6" s="13" t="s">
        <v>122</v>
      </c>
      <c r="H6" s="13" t="s">
        <v>192</v>
      </c>
      <c r="I6" s="13" t="s">
        <v>193</v>
      </c>
    </row>
    <row r="7" spans="1:9" ht="15" customHeight="1">
      <c r="B7" s="14" t="s">
        <v>160</v>
      </c>
      <c r="C7" s="14" t="s">
        <v>161</v>
      </c>
      <c r="D7" s="14" t="s">
        <v>194</v>
      </c>
      <c r="E7" s="14" t="s">
        <v>195</v>
      </c>
      <c r="F7" s="14" t="s">
        <v>196</v>
      </c>
      <c r="G7" s="14" t="s">
        <v>122</v>
      </c>
      <c r="H7" s="14" t="s">
        <v>192</v>
      </c>
      <c r="I7" s="14" t="s">
        <v>197</v>
      </c>
    </row>
    <row r="8" spans="1:9" ht="15" customHeight="1">
      <c r="B8" s="14" t="s">
        <v>164</v>
      </c>
      <c r="C8" s="14" t="s">
        <v>65</v>
      </c>
      <c r="D8" s="14" t="s">
        <v>198</v>
      </c>
      <c r="E8" s="14" t="s">
        <v>199</v>
      </c>
      <c r="F8" s="14" t="s">
        <v>200</v>
      </c>
      <c r="G8" s="14" t="s">
        <v>123</v>
      </c>
      <c r="H8" s="14" t="s">
        <v>192</v>
      </c>
      <c r="I8" s="14" t="s">
        <v>201</v>
      </c>
    </row>
    <row r="9" spans="1:9" ht="15" customHeight="1">
      <c r="B9" s="14" t="s">
        <v>168</v>
      </c>
      <c r="C9" s="14" t="s">
        <v>77</v>
      </c>
      <c r="D9" s="14" t="s">
        <v>189</v>
      </c>
      <c r="E9" s="14" t="s">
        <v>202</v>
      </c>
      <c r="F9" s="14" t="s">
        <v>196</v>
      </c>
      <c r="G9" s="14" t="s">
        <v>122</v>
      </c>
      <c r="H9" s="14" t="s">
        <v>192</v>
      </c>
      <c r="I9" s="14" t="s">
        <v>203</v>
      </c>
    </row>
    <row r="10" spans="1:9" ht="15" customHeight="1">
      <c r="B10" s="14" t="s">
        <v>172</v>
      </c>
      <c r="C10" s="14" t="s">
        <v>68</v>
      </c>
      <c r="D10" s="14" t="s">
        <v>204</v>
      </c>
      <c r="E10" s="14" t="s">
        <v>205</v>
      </c>
      <c r="F10" s="14" t="s">
        <v>206</v>
      </c>
      <c r="G10" s="14" t="s">
        <v>122</v>
      </c>
      <c r="H10" s="14" t="s">
        <v>192</v>
      </c>
      <c r="I10" s="14" t="s">
        <v>207</v>
      </c>
    </row>
    <row r="11" spans="1:9" ht="15" customHeight="1">
      <c r="B11" s="14" t="s">
        <v>174</v>
      </c>
      <c r="C11" s="14" t="s">
        <v>66</v>
      </c>
      <c r="D11" s="14"/>
      <c r="E11" s="14"/>
      <c r="F11" s="14"/>
      <c r="G11" s="14"/>
      <c r="H11" s="14" t="s">
        <v>192</v>
      </c>
      <c r="I11" s="14"/>
    </row>
    <row r="12" spans="1:9" ht="15" customHeight="1">
      <c r="B12" s="14"/>
      <c r="C12" s="14"/>
      <c r="D12" s="14"/>
      <c r="E12" s="14"/>
      <c r="F12" s="14"/>
      <c r="G12" s="14"/>
      <c r="H12" s="14"/>
      <c r="I12" s="14"/>
    </row>
    <row r="13" spans="1:9" ht="15" customHeight="1">
      <c r="B13" s="14"/>
      <c r="C13" s="14"/>
      <c r="D13" s="14"/>
      <c r="E13" s="14"/>
      <c r="F13" s="14"/>
      <c r="G13" s="14"/>
      <c r="H13" s="14"/>
      <c r="I13" s="14"/>
    </row>
    <row r="14" spans="1:9" ht="15" customHeight="1">
      <c r="B14" s="14"/>
      <c r="C14" s="14"/>
      <c r="D14" s="14"/>
      <c r="E14" s="14"/>
      <c r="F14" s="14"/>
      <c r="G14" s="14"/>
      <c r="H14" s="14"/>
      <c r="I14" s="14"/>
    </row>
    <row r="15" spans="1:9" ht="15" customHeight="1">
      <c r="B15" s="14"/>
      <c r="C15" s="14"/>
      <c r="D15" s="14"/>
      <c r="E15" s="14"/>
      <c r="F15" s="14"/>
      <c r="G15" s="14"/>
      <c r="H15" s="14"/>
      <c r="I15" s="14"/>
    </row>
    <row r="16" spans="1:9" ht="15" customHeight="1">
      <c r="B16" s="14"/>
      <c r="C16" s="14"/>
      <c r="D16" s="14"/>
      <c r="E16" s="14"/>
      <c r="F16" s="14"/>
      <c r="G16" s="14"/>
      <c r="H16" s="14"/>
      <c r="I16" s="14"/>
    </row>
    <row r="17" spans="2:9" ht="15" customHeight="1">
      <c r="B17" s="14"/>
      <c r="C17" s="14"/>
      <c r="D17" s="14"/>
      <c r="E17" s="14"/>
      <c r="F17" s="14"/>
      <c r="G17" s="14"/>
      <c r="H17" s="14"/>
      <c r="I17" s="14"/>
    </row>
    <row r="18" spans="2:9" ht="15" customHeight="1">
      <c r="B18" s="14"/>
      <c r="C18" s="14"/>
      <c r="D18" s="14"/>
      <c r="E18" s="14"/>
      <c r="F18" s="14"/>
      <c r="G18" s="14"/>
      <c r="H18" s="14"/>
      <c r="I18" s="14"/>
    </row>
    <row r="19" spans="2:9" ht="15" customHeight="1">
      <c r="B19" s="14"/>
      <c r="C19" s="14"/>
      <c r="D19" s="14"/>
      <c r="E19" s="14"/>
      <c r="F19" s="14"/>
      <c r="G19" s="14"/>
      <c r="H19" s="14"/>
      <c r="I19" s="14"/>
    </row>
    <row r="20" spans="2:9" ht="15" customHeight="1">
      <c r="B20" s="14"/>
      <c r="C20" s="14"/>
      <c r="D20" s="14"/>
      <c r="E20" s="14"/>
      <c r="F20" s="14"/>
      <c r="G20" s="14"/>
      <c r="H20" s="14"/>
      <c r="I20" s="14"/>
    </row>
    <row r="21" spans="2:9" ht="15" customHeight="1">
      <c r="B21" s="14"/>
      <c r="C21" s="14"/>
      <c r="D21" s="14"/>
      <c r="E21" s="14"/>
      <c r="F21" s="14"/>
      <c r="G21" s="14"/>
      <c r="H21" s="14"/>
      <c r="I21" s="14"/>
    </row>
    <row r="22" spans="2:9" ht="15" customHeight="1">
      <c r="B22" s="14"/>
      <c r="C22" s="14"/>
      <c r="D22" s="14"/>
      <c r="E22" s="14"/>
      <c r="F22" s="14"/>
      <c r="G22" s="14"/>
      <c r="H22" s="14"/>
      <c r="I22" s="14"/>
    </row>
    <row r="23" spans="2:9" ht="15" customHeight="1">
      <c r="B23" s="14"/>
      <c r="C23" s="14"/>
      <c r="D23" s="14"/>
      <c r="E23" s="14"/>
      <c r="F23" s="14"/>
      <c r="G23" s="14"/>
      <c r="H23" s="14"/>
      <c r="I23" s="14"/>
    </row>
    <row r="24" spans="2:9" ht="15" customHeight="1">
      <c r="B24" s="14"/>
      <c r="C24" s="14"/>
      <c r="D24" s="14"/>
      <c r="E24" s="14"/>
      <c r="F24" s="14"/>
      <c r="G24" s="14"/>
      <c r="H24" s="14"/>
      <c r="I24" s="14"/>
    </row>
    <row r="25" spans="2:9" ht="15" customHeight="1">
      <c r="B25" s="14"/>
      <c r="C25" s="14"/>
      <c r="D25" s="14"/>
      <c r="E25" s="14"/>
      <c r="F25" s="14"/>
      <c r="G25" s="14"/>
      <c r="H25" s="14"/>
      <c r="I25" s="14"/>
    </row>
    <row r="26" spans="2:9" ht="15" customHeight="1">
      <c r="B26" s="14"/>
      <c r="C26" s="14"/>
      <c r="D26" s="14"/>
      <c r="E26" s="14"/>
      <c r="F26" s="14"/>
      <c r="G26" s="14"/>
      <c r="H26" s="14"/>
      <c r="I26" s="14"/>
    </row>
    <row r="27" spans="2:9"/>
    <row r="28" spans="2:9" ht="15" customHeight="1">
      <c r="B28" s="9" t="s">
        <v>208</v>
      </c>
      <c r="C28" s="9">
        <f>SUMPRODUCT((B6:B26&lt;&gt;"")/COUNTIF(B6:B26,B6:B26&amp;""))</f>
        <v>6</v>
      </c>
    </row>
    <row r="29" spans="2:9" ht="15" customHeight="1">
      <c r="B29" s="9" t="s">
        <v>209</v>
      </c>
      <c r="C29" s="9">
        <f>COUNTIF(F6:F26,"Yes")</f>
        <v>0</v>
      </c>
    </row>
    <row r="30" spans="2:9" ht="15" customHeight="1">
      <c r="B30" s="9" t="s">
        <v>210</v>
      </c>
      <c r="C30" s="9">
        <f>SUM(G6:G26)</f>
        <v>0</v>
      </c>
    </row>
  </sheetData>
  <mergeCells count="2">
    <mergeCell ref="B3:I3"/>
    <mergeCell ref="A2:H2"/>
  </mergeCells>
  <dataValidations count="3">
    <dataValidation type="list" allowBlank="1" sqref="D7:D26" xr:uid="{00000000-0002-0000-0700-000000000000}">
      <formula1>"Soil,Water,Air,Soil + Water,Soil + Water + Air"</formula1>
      <formula2>0</formula2>
    </dataValidation>
    <dataValidation type="list" allowBlank="1" sqref="E7:E26" xr:uid="{00000000-0002-0000-0700-000001000000}">
      <formula1>"Within Limit,Exceeds Limit,Pending Analysis"</formula1>
      <formula2>0</formula2>
    </dataValidation>
    <dataValidation type="list" allowBlank="1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"/>
  <sheetViews>
    <sheetView showGridLines="0" workbookViewId="0">
      <pane xSplit="2" ySplit="6" topLeftCell="C7" activePane="bottomRight" state="frozen"/>
      <selection pane="bottomRight" activeCell="M19" sqref="M19"/>
      <selection pane="bottomLeft"/>
      <selection pane="topRight"/>
    </sheetView>
  </sheetViews>
  <sheetFormatPr defaultRowHeight="14.45" zeroHeight="1"/>
  <cols>
    <col min="1" max="1" width="3" style="19" customWidth="1"/>
    <col min="2" max="2" width="30" style="19" customWidth="1"/>
    <col min="3" max="4" width="16" style="19" customWidth="1"/>
    <col min="5" max="6" width="22" style="19" customWidth="1"/>
    <col min="7" max="7" width="20" style="19" customWidth="1"/>
  </cols>
  <sheetData>
    <row r="1" spans="1:7"/>
    <row r="2" spans="1:7" ht="25.5" customHeight="1">
      <c r="A2" s="22" t="s">
        <v>211</v>
      </c>
      <c r="B2" s="21"/>
      <c r="C2" s="21"/>
      <c r="D2" s="21"/>
      <c r="E2" s="21"/>
      <c r="F2" s="21"/>
    </row>
    <row r="3" spans="1:7" ht="15" customHeight="1">
      <c r="B3" s="20" t="s">
        <v>212</v>
      </c>
      <c r="C3" s="21"/>
      <c r="D3" s="21"/>
      <c r="E3" s="21"/>
      <c r="F3" s="21"/>
      <c r="G3" s="21"/>
    </row>
    <row r="4" spans="1:7"/>
    <row r="5" spans="1:7" ht="31.5" customHeight="1">
      <c r="B5" s="1" t="s">
        <v>213</v>
      </c>
      <c r="C5" s="1" t="s">
        <v>46</v>
      </c>
      <c r="D5" s="1" t="s">
        <v>185</v>
      </c>
      <c r="E5" s="1" t="s">
        <v>214</v>
      </c>
      <c r="F5" s="1" t="s">
        <v>215</v>
      </c>
      <c r="G5" s="1" t="s">
        <v>216</v>
      </c>
    </row>
    <row r="6" spans="1:7" ht="15" customHeight="1">
      <c r="B6" s="13" t="s">
        <v>217</v>
      </c>
      <c r="C6" s="13" t="s">
        <v>218</v>
      </c>
      <c r="D6" s="13" t="s">
        <v>219</v>
      </c>
      <c r="E6" s="13" t="s">
        <v>220</v>
      </c>
      <c r="F6" s="13" t="s">
        <v>221</v>
      </c>
      <c r="G6" s="13">
        <v>5000</v>
      </c>
    </row>
    <row r="7" spans="1:7" ht="15" customHeight="1">
      <c r="B7" s="14" t="s">
        <v>222</v>
      </c>
      <c r="C7" s="14" t="s">
        <v>78</v>
      </c>
      <c r="D7" s="14" t="s">
        <v>223</v>
      </c>
      <c r="E7" s="14" t="s">
        <v>224</v>
      </c>
      <c r="F7" s="14" t="s">
        <v>225</v>
      </c>
      <c r="G7" s="14">
        <v>1200</v>
      </c>
    </row>
    <row r="8" spans="1:7" ht="15" customHeight="1">
      <c r="B8" s="14" t="s">
        <v>226</v>
      </c>
      <c r="C8" s="14" t="s">
        <v>161</v>
      </c>
      <c r="D8" s="14" t="s">
        <v>227</v>
      </c>
      <c r="E8" s="14" t="s">
        <v>228</v>
      </c>
      <c r="F8" s="14" t="s">
        <v>229</v>
      </c>
      <c r="G8" s="14">
        <v>800</v>
      </c>
    </row>
    <row r="9" spans="1:7" ht="15" customHeight="1">
      <c r="B9" s="14" t="s">
        <v>230</v>
      </c>
      <c r="C9" s="14" t="s">
        <v>65</v>
      </c>
      <c r="D9" s="14" t="s">
        <v>231</v>
      </c>
      <c r="E9" s="14" t="s">
        <v>232</v>
      </c>
      <c r="F9" s="14" t="s">
        <v>233</v>
      </c>
      <c r="G9" s="14">
        <v>1500</v>
      </c>
    </row>
    <row r="10" spans="1:7" ht="15" customHeight="1">
      <c r="B10" s="14" t="s">
        <v>234</v>
      </c>
      <c r="C10" s="14" t="s">
        <v>110</v>
      </c>
      <c r="D10" s="14" t="s">
        <v>235</v>
      </c>
      <c r="E10" s="14" t="s">
        <v>224</v>
      </c>
      <c r="F10" s="14" t="s">
        <v>236</v>
      </c>
      <c r="G10" s="14">
        <v>600</v>
      </c>
    </row>
    <row r="11" spans="1:7" ht="15" customHeight="1">
      <c r="B11" s="14" t="s">
        <v>237</v>
      </c>
      <c r="C11" s="14" t="s">
        <v>238</v>
      </c>
      <c r="D11" s="14" t="s">
        <v>199</v>
      </c>
      <c r="E11" s="14" t="s">
        <v>232</v>
      </c>
      <c r="F11" s="14" t="s">
        <v>239</v>
      </c>
      <c r="G11" s="14">
        <v>900</v>
      </c>
    </row>
    <row r="12" spans="1:7" ht="15" customHeight="1">
      <c r="B12" s="14"/>
      <c r="C12" s="14"/>
      <c r="D12" s="14"/>
      <c r="E12" s="14"/>
      <c r="F12" s="14"/>
      <c r="G12" s="14"/>
    </row>
    <row r="13" spans="1:7" ht="15" customHeight="1">
      <c r="B13" s="14"/>
      <c r="C13" s="14"/>
      <c r="D13" s="14"/>
      <c r="E13" s="14"/>
      <c r="F13" s="14"/>
      <c r="G13" s="14"/>
    </row>
    <row r="14" spans="1:7" ht="15" customHeight="1">
      <c r="B14" s="14"/>
      <c r="C14" s="14"/>
      <c r="D14" s="14"/>
      <c r="E14" s="14"/>
      <c r="F14" s="14"/>
      <c r="G14" s="14"/>
    </row>
    <row r="15" spans="1:7" ht="15" customHeight="1">
      <c r="B15" s="14"/>
      <c r="C15" s="14"/>
      <c r="D15" s="14"/>
      <c r="E15" s="14"/>
      <c r="F15" s="14"/>
      <c r="G15" s="14"/>
    </row>
    <row r="16" spans="1:7" ht="15" customHeight="1">
      <c r="B16" s="14"/>
      <c r="C16" s="14"/>
      <c r="D16" s="14"/>
      <c r="E16" s="14"/>
      <c r="F16" s="14"/>
      <c r="G16" s="14"/>
    </row>
    <row r="17" spans="2:7" ht="15" customHeight="1">
      <c r="B17" s="14"/>
      <c r="C17" s="14"/>
      <c r="D17" s="14"/>
      <c r="E17" s="14"/>
      <c r="F17" s="14"/>
      <c r="G17" s="14"/>
    </row>
    <row r="18" spans="2:7" ht="15" customHeight="1">
      <c r="B18" s="14"/>
      <c r="C18" s="14"/>
      <c r="D18" s="14"/>
      <c r="E18" s="14"/>
      <c r="F18" s="14"/>
      <c r="G18" s="14"/>
    </row>
    <row r="19" spans="2:7" ht="15" customHeight="1">
      <c r="B19" s="14"/>
      <c r="C19" s="14"/>
      <c r="D19" s="14"/>
      <c r="E19" s="14"/>
      <c r="F19" s="14"/>
      <c r="G19" s="14"/>
    </row>
    <row r="20" spans="2:7" ht="15" customHeight="1">
      <c r="B20" s="14"/>
      <c r="C20" s="14"/>
      <c r="D20" s="14"/>
      <c r="E20" s="14"/>
      <c r="F20" s="14"/>
      <c r="G20" s="14"/>
    </row>
    <row r="21" spans="2:7" ht="15" customHeight="1">
      <c r="B21" s="14"/>
      <c r="C21" s="14"/>
      <c r="D21" s="14"/>
      <c r="E21" s="14"/>
      <c r="F21" s="14"/>
      <c r="G21" s="14"/>
    </row>
    <row r="22" spans="2:7" ht="15" customHeight="1">
      <c r="B22" s="14"/>
      <c r="C22" s="14"/>
      <c r="D22" s="14"/>
      <c r="E22" s="14"/>
      <c r="F22" s="14"/>
      <c r="G22" s="14"/>
    </row>
    <row r="23" spans="2:7" ht="15" customHeight="1">
      <c r="B23" s="14"/>
      <c r="C23" s="14"/>
      <c r="D23" s="14"/>
      <c r="E23" s="14"/>
      <c r="F23" s="14"/>
      <c r="G23" s="14"/>
    </row>
    <row r="24" spans="2:7" ht="15" customHeight="1">
      <c r="B24" s="14"/>
      <c r="C24" s="14"/>
      <c r="D24" s="14"/>
      <c r="E24" s="14"/>
      <c r="F24" s="14"/>
      <c r="G24" s="14"/>
    </row>
    <row r="25" spans="2:7" ht="15" customHeight="1">
      <c r="B25" s="14"/>
      <c r="C25" s="14"/>
      <c r="D25" s="14"/>
      <c r="E25" s="14"/>
      <c r="F25" s="14"/>
      <c r="G25" s="14"/>
    </row>
    <row r="26" spans="2:7" ht="15" customHeight="1">
      <c r="B26" s="14"/>
      <c r="C26" s="14"/>
      <c r="D26" s="14"/>
      <c r="E26" s="14"/>
      <c r="F26" s="14"/>
      <c r="G26" s="14"/>
    </row>
    <row r="27" spans="2:7"/>
    <row r="28" spans="2:7" ht="15" customHeight="1">
      <c r="B28" s="9" t="s">
        <v>240</v>
      </c>
      <c r="C28" s="9">
        <f>COUNTA(B6:B26)</f>
        <v>6</v>
      </c>
    </row>
    <row r="29" spans="2:7" ht="15" customHeight="1">
      <c r="B29" s="9" t="s">
        <v>241</v>
      </c>
      <c r="C29" s="9">
        <f>COUNTIF(D6:D26,"School Collection Drive")+COUNTIF(D6:D26,"RWA/Community Drive")</f>
        <v>0</v>
      </c>
    </row>
    <row r="30" spans="2:7" ht="15" customHeight="1">
      <c r="B30" s="9" t="s">
        <v>242</v>
      </c>
      <c r="C30" s="9">
        <f>SUM(F6:F26)</f>
        <v>0</v>
      </c>
    </row>
  </sheetData>
  <mergeCells count="2">
    <mergeCell ref="B3:G3"/>
    <mergeCell ref="A2:F2"/>
  </mergeCells>
  <dataValidations count="1">
    <dataValidation type="list" allowBlank="1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548F16-6F75-4361-922F-7084BD39C9C2}"/>
</file>

<file path=customXml/itemProps2.xml><?xml version="1.0" encoding="utf-8"?>
<ds:datastoreItem xmlns:ds="http://schemas.openxmlformats.org/officeDocument/2006/customXml" ds:itemID="{4EF5806C-D862-4C69-9953-67447E4F092E}"/>
</file>

<file path=customXml/itemProps3.xml><?xml version="1.0" encoding="utf-8"?>
<ds:datastoreItem xmlns:ds="http://schemas.openxmlformats.org/officeDocument/2006/customXml" ds:itemID="{5DBAA07D-63F1-456D-9F79-7FA7C27A6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Divesh Jadhav</cp:lastModifiedBy>
  <cp:revision/>
  <dcterms:created xsi:type="dcterms:W3CDTF">2026-07-15T22:50:02Z</dcterms:created>
  <dcterms:modified xsi:type="dcterms:W3CDTF">2026-07-27T18:02:28Z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4d052ea00c31453288d0364c477b8b3e_23</vt:lpwstr>
  </property>
  <property fmtid="{D5CDD505-2E9C-101B-9397-08002B2CF9AE}" pid="3" name="ContentTypeId">
    <vt:lpwstr>0x010100B17A232B3FA31C48ADAF29702DE3C893</vt:lpwstr>
  </property>
  <property fmtid="{D5CDD505-2E9C-101B-9397-08002B2CF9AE}" pid="4" name="MediaServiceImageTags">
    <vt:lpwstr/>
  </property>
</Properties>
</file>